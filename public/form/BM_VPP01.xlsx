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fullstack-web-architect\public\form\"/>
    </mc:Choice>
  </mc:AlternateContent>
  <xr:revisionPtr revIDLastSave="0" documentId="13_ncr:1_{788821F0-99CC-4AE4-AF2A-D1C1F65AE3A2}" xr6:coauthVersionLast="47" xr6:coauthVersionMax="47" xr10:uidLastSave="{00000000-0000-0000-0000-000000000000}"/>
  <bookViews>
    <workbookView xWindow="368" yWindow="368" windowWidth="21599" windowHeight="12892" xr2:uid="{A75F1F33-A435-4F6E-879D-F15E83E358C4}"/>
  </bookViews>
  <sheets>
    <sheet name="B.KToan" sheetId="2" r:id="rId1"/>
    <sheet name="Sheet1" sheetId="1" r:id="rId2"/>
  </sheets>
  <externalReferences>
    <externalReference r:id="rId3"/>
  </externalReferences>
  <definedNames>
    <definedName name="_xlnm._FilterDatabase" localSheetId="0" hidden="1">B.KToan!$A$10:$F$13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11" i="2"/>
  <c r="F3" i="2"/>
  <c r="E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2C1FC1D0-BCCA-4419-BFCC-050010C72599}">
      <text>
        <r>
          <rPr>
            <sz val="12"/>
            <color theme="1"/>
            <rFont val="Calibri"/>
            <family val="1"/>
            <scheme val="minor"/>
          </rPr>
          <t>======
ID#AAABhyGsLlk
Lenovo    (2025-04-15 00:45:46)
NHẬP VÀO ĐÂY</t>
        </r>
      </text>
    </comment>
  </commentList>
</comments>
</file>

<file path=xl/sharedStrings.xml><?xml version="1.0" encoding="utf-8"?>
<sst xmlns="http://schemas.openxmlformats.org/spreadsheetml/2006/main" count="453" uniqueCount="323">
  <si>
    <t>DANH MỤC CHI PHÍ</t>
  </si>
  <si>
    <t>TT</t>
  </si>
  <si>
    <t>Mã chi phí</t>
  </si>
  <si>
    <t>Danh mục hàng hóa/dịch vụ</t>
  </si>
  <si>
    <t>Phân loại chi phí</t>
  </si>
  <si>
    <t>Chi tiết khoản mục chi phí</t>
  </si>
  <si>
    <t>A</t>
  </si>
  <si>
    <t>Tài sản, CCDC</t>
  </si>
  <si>
    <t>I</t>
  </si>
  <si>
    <t>CC-DC, Thiết bị văn phòng</t>
  </si>
  <si>
    <t>3002-001</t>
  </si>
  <si>
    <t>Thiết bị điện tử văn phòng</t>
  </si>
  <si>
    <t>3002-001-0001</t>
  </si>
  <si>
    <t>Máy ảnh</t>
  </si>
  <si>
    <t>CC-DC</t>
  </si>
  <si>
    <t>3002-001-0002</t>
  </si>
  <si>
    <t>Flycam</t>
  </si>
  <si>
    <t>3002-001-0003</t>
  </si>
  <si>
    <t>Máy định vị GPS</t>
  </si>
  <si>
    <t>3002-001-0004</t>
  </si>
  <si>
    <t>Bộ đàm</t>
  </si>
  <si>
    <t>3002-001-0005</t>
  </si>
  <si>
    <t>Webcam</t>
  </si>
  <si>
    <t>3002-001-0006</t>
  </si>
  <si>
    <t>Đầu truyền hình</t>
  </si>
  <si>
    <t>3002-001-0007</t>
  </si>
  <si>
    <t>Tivi</t>
  </si>
  <si>
    <t>3002-001-0008</t>
  </si>
  <si>
    <t>Máy chiếu</t>
  </si>
  <si>
    <t>3002-001-0009</t>
  </si>
  <si>
    <t>Màn hình LED</t>
  </si>
  <si>
    <t>3002-001-0010</t>
  </si>
  <si>
    <t>Hệ thống âm thanh</t>
  </si>
  <si>
    <t>3002-001-0011</t>
  </si>
  <si>
    <t>Bộ họp trực tuyến</t>
  </si>
  <si>
    <t>3002-001-0012</t>
  </si>
  <si>
    <t>Máy phiên dịch</t>
  </si>
  <si>
    <t>3002-001-0013</t>
  </si>
  <si>
    <t>Camera theo dõi</t>
  </si>
  <si>
    <t>3002-001-0014</t>
  </si>
  <si>
    <t>Bảng điện tử phòng họp</t>
  </si>
  <si>
    <t>3002-001-0015</t>
  </si>
  <si>
    <t>Điện thoại bàn</t>
  </si>
  <si>
    <t>3002-001-0016</t>
  </si>
  <si>
    <t>Điện thoại di động</t>
  </si>
  <si>
    <t>3002-001-0017</t>
  </si>
  <si>
    <t>Thiết bị điện tử khác</t>
  </si>
  <si>
    <t>3002-002</t>
  </si>
  <si>
    <t>Thiết bị điện gia dụng</t>
  </si>
  <si>
    <t>3002-002-001</t>
  </si>
  <si>
    <t>Máy điều hòa</t>
  </si>
  <si>
    <t>3002-002-002</t>
  </si>
  <si>
    <t>Tủ lạnh</t>
  </si>
  <si>
    <t>3002-002-003</t>
  </si>
  <si>
    <t>Tủ đông</t>
  </si>
  <si>
    <t>3002-002-004</t>
  </si>
  <si>
    <t>Máy nước nóng lạnh</t>
  </si>
  <si>
    <t>3002-002-005</t>
  </si>
  <si>
    <t>Máy rửa/sấy ly</t>
  </si>
  <si>
    <t>3002-002-006</t>
  </si>
  <si>
    <t>Máy lọc nước</t>
  </si>
  <si>
    <t>3002-002-007</t>
  </si>
  <si>
    <t>Máy lọc không khí</t>
  </si>
  <si>
    <t>3002-002-008</t>
  </si>
  <si>
    <t>Máy hút mùi quạt thông gió</t>
  </si>
  <si>
    <t>3002-002-009</t>
  </si>
  <si>
    <t>Quạt</t>
  </si>
  <si>
    <t>3002-002-010</t>
  </si>
  <si>
    <t>Thiết bị vệ sinh</t>
  </si>
  <si>
    <t>3002-002-011</t>
  </si>
  <si>
    <t>Thiết bị quầy bar - Coffee - Pantry</t>
  </si>
  <si>
    <t>3002-002-012</t>
  </si>
  <si>
    <t>Thiết bị điện khác</t>
  </si>
  <si>
    <t>3002-003</t>
  </si>
  <si>
    <t>Thiết bị tin học</t>
  </si>
  <si>
    <t>3002-003-0001</t>
  </si>
  <si>
    <t>Máy tính laptop</t>
  </si>
  <si>
    <t>CC-DC/TS</t>
  </si>
  <si>
    <t>3002-003-0002</t>
  </si>
  <si>
    <t>CPU máy tính để bàn</t>
  </si>
  <si>
    <t>3002-003-0003</t>
  </si>
  <si>
    <t>Màn hình</t>
  </si>
  <si>
    <t>3002-003-0004</t>
  </si>
  <si>
    <t>Bàn phím</t>
  </si>
  <si>
    <t>3002-003-0005</t>
  </si>
  <si>
    <t>Chuột có dây</t>
  </si>
  <si>
    <t>3002-003-0006</t>
  </si>
  <si>
    <t>Chuột không dây</t>
  </si>
  <si>
    <t>3002-003-0007</t>
  </si>
  <si>
    <t>Thiết bị chuyển đổi</t>
  </si>
  <si>
    <t>3002-003-0008</t>
  </si>
  <si>
    <t>Thiết bị mạng</t>
  </si>
  <si>
    <t>3002-003-0009</t>
  </si>
  <si>
    <t>Ram</t>
  </si>
  <si>
    <t>3002-003-0010</t>
  </si>
  <si>
    <t>Ổ cứng</t>
  </si>
  <si>
    <t>3002-003-0011</t>
  </si>
  <si>
    <t>USB, thẻ nhớ</t>
  </si>
  <si>
    <t>3002-003-0012</t>
  </si>
  <si>
    <t>Bộ lưu điện (UPS)</t>
  </si>
  <si>
    <t>3002-003-0013</t>
  </si>
  <si>
    <t>Table</t>
  </si>
  <si>
    <t>3002-003-0014</t>
  </si>
  <si>
    <t>Máy in</t>
  </si>
  <si>
    <t>3002-003-0015</t>
  </si>
  <si>
    <t>Máy photocopy</t>
  </si>
  <si>
    <t>3002-003-0016</t>
  </si>
  <si>
    <t>Máy Scan</t>
  </si>
  <si>
    <t>3002-003-0017</t>
  </si>
  <si>
    <t>Hệ thống mạng internet</t>
  </si>
  <si>
    <t>3002-003-0019</t>
  </si>
  <si>
    <t>Máy quét mã vạch (barcode)</t>
  </si>
  <si>
    <t>3002-003-0020</t>
  </si>
  <si>
    <t>Máy in hóa đơn nhiệt</t>
  </si>
  <si>
    <t>3002-003-0021</t>
  </si>
  <si>
    <t>Phần mềm</t>
  </si>
  <si>
    <t>3002-003-0022</t>
  </si>
  <si>
    <t>Bản quyền</t>
  </si>
  <si>
    <t>3002-003-0023</t>
  </si>
  <si>
    <t>Thiết bị tin học khác</t>
  </si>
  <si>
    <t>3002-004</t>
  </si>
  <si>
    <t>Nội thất văn phòng/CCDC</t>
  </si>
  <si>
    <t>3002-004-0001</t>
  </si>
  <si>
    <t>Ghế ngồi lãnh đạo</t>
  </si>
  <si>
    <t>3002-004-0002</t>
  </si>
  <si>
    <t>Ghế chân quỳ phòng họp</t>
  </si>
  <si>
    <t>3002-004-0003</t>
  </si>
  <si>
    <t>Ghế ngồi CBNV</t>
  </si>
  <si>
    <t>3002-004-0004</t>
  </si>
  <si>
    <t>Bàn tròn thảo luận</t>
  </si>
  <si>
    <t>3002-004-0005</t>
  </si>
  <si>
    <t>Bàn nhân viên 0.7 * 1.4m</t>
  </si>
  <si>
    <t>3002-004-0006</t>
  </si>
  <si>
    <t>Bàn nhân viên 0.6m*1.2m</t>
  </si>
  <si>
    <t>3002-004-0007</t>
  </si>
  <si>
    <t>Bàn ghép phòng họp 0.7 * 1.4m</t>
  </si>
  <si>
    <t>3002-004-0008</t>
  </si>
  <si>
    <t>Bàn ghép phòng họp 0.6 * 1.2m</t>
  </si>
  <si>
    <t>3002-004-0009</t>
  </si>
  <si>
    <t>Vách ngăn bàn làm việc loại gỗ</t>
  </si>
  <si>
    <t>3002-004-0010</t>
  </si>
  <si>
    <t>Vách ngăn bàn làm việc loại kính</t>
  </si>
  <si>
    <t>3002-004-0011</t>
  </si>
  <si>
    <t>Vách ngăn gỗ kết hợp kính</t>
  </si>
  <si>
    <t>3002-004-0012</t>
  </si>
  <si>
    <t>Tủ lưu trữ hồ sơ 2 cánh</t>
  </si>
  <si>
    <t>3002-004-0013</t>
  </si>
  <si>
    <t>Tủ hồ sơ cá nhân 3 ngăn</t>
  </si>
  <si>
    <t>3002-004-0014</t>
  </si>
  <si>
    <t>Dụng cụ quầy bar - coffee - Pantry</t>
  </si>
  <si>
    <t>3002-004-0015</t>
  </si>
  <si>
    <t>Logo THACO ARI quầy lễ tân</t>
  </si>
  <si>
    <t>3002-004-0016</t>
  </si>
  <si>
    <t>Biển hướng dẫn tại văn phòng</t>
  </si>
  <si>
    <t>3002-004-0017</t>
  </si>
  <si>
    <t>Biển khẩu ngữ tại văn phòng</t>
  </si>
  <si>
    <t>3002-004-0018</t>
  </si>
  <si>
    <t>Ly uống nước thủy tinh</t>
  </si>
  <si>
    <t>3002-004-0019</t>
  </si>
  <si>
    <t>Nĩa inox</t>
  </si>
  <si>
    <t>3002-004-0020</t>
  </si>
  <si>
    <t>Muỗng inox</t>
  </si>
  <si>
    <t>3002-004-0021</t>
  </si>
  <si>
    <t>Khay ly</t>
  </si>
  <si>
    <t>3002-004-0022</t>
  </si>
  <si>
    <t>Bình trà</t>
  </si>
  <si>
    <t>3002-004-0023</t>
  </si>
  <si>
    <t>Phích nước điện</t>
  </si>
  <si>
    <t>3002-004-0024</t>
  </si>
  <si>
    <t>Đĩa sứ</t>
  </si>
  <si>
    <t>3002-004-0025</t>
  </si>
  <si>
    <t>Thùng rác</t>
  </si>
  <si>
    <t>3002-004-0026</t>
  </si>
  <si>
    <t>Công cụ dụng khác</t>
  </si>
  <si>
    <t>3002-004-0027</t>
  </si>
  <si>
    <t>CCDC khác</t>
  </si>
  <si>
    <t>3002-005</t>
  </si>
  <si>
    <t>Văn phòng phẩm, vật tư văn phòng</t>
  </si>
  <si>
    <t>3002-005-0001</t>
  </si>
  <si>
    <t>Văn phòng phẩm</t>
  </si>
  <si>
    <t>VATTU</t>
  </si>
  <si>
    <t>3002-005-0002</t>
  </si>
  <si>
    <t>Ấn vật phẩm</t>
  </si>
  <si>
    <t>3002-005-0003</t>
  </si>
  <si>
    <t>Đồng phục</t>
  </si>
  <si>
    <t>3002-005-0004</t>
  </si>
  <si>
    <t>Bảng tên nhân viên</t>
  </si>
  <si>
    <t>3002-005-0005</t>
  </si>
  <si>
    <t>Đồ bảo hộ lao động</t>
  </si>
  <si>
    <t>3002-005-0006</t>
  </si>
  <si>
    <t>Bánh, kẹo, trà, café phục vụ hội họp</t>
  </si>
  <si>
    <t>3002-005-0007</t>
  </si>
  <si>
    <t>Rượu</t>
  </si>
  <si>
    <t>3002-005-0008</t>
  </si>
  <si>
    <t>Bằng khen</t>
  </si>
  <si>
    <t>3002-005-0009</t>
  </si>
  <si>
    <t>Danh thiếp</t>
  </si>
  <si>
    <t>3002-005-0010</t>
  </si>
  <si>
    <t>Vật tư khác</t>
  </si>
  <si>
    <t>II</t>
  </si>
  <si>
    <t>4003-001</t>
  </si>
  <si>
    <t>Phương tiện vận tải</t>
  </si>
  <si>
    <t>4003-001-001</t>
  </si>
  <si>
    <t>Xe du lịch 5 - 7 chỗ</t>
  </si>
  <si>
    <t>TS</t>
  </si>
  <si>
    <t>4003-001-002</t>
  </si>
  <si>
    <t>Xe bán tải (Pickup)</t>
  </si>
  <si>
    <t>4003-001-003</t>
  </si>
  <si>
    <t>Xe tải thùng - Kia K200SD</t>
  </si>
  <si>
    <t>4003-001-004</t>
  </si>
  <si>
    <t>Xe bus</t>
  </si>
  <si>
    <t>4003-001-005</t>
  </si>
  <si>
    <t>Xe điện</t>
  </si>
  <si>
    <t>4003-001-006</t>
  </si>
  <si>
    <t>Xe máy</t>
  </si>
  <si>
    <t>4003-001-007</t>
  </si>
  <si>
    <t>Xe chuyên dụng</t>
  </si>
  <si>
    <t>B</t>
  </si>
  <si>
    <t>C04</t>
  </si>
  <si>
    <t>Chi phí văn phòng và hỗ trợ công tác</t>
  </si>
  <si>
    <t>C04-001</t>
  </si>
  <si>
    <t>Dịch vụ vé máy bay</t>
  </si>
  <si>
    <t>DICHVU</t>
  </si>
  <si>
    <t>C04-002</t>
  </si>
  <si>
    <t>Dịch vụ nhà hàng</t>
  </si>
  <si>
    <t>C04-003</t>
  </si>
  <si>
    <t>Dịch vụ khách sạn</t>
  </si>
  <si>
    <t>C04-004</t>
  </si>
  <si>
    <t>Dịch vụ thay mực in</t>
  </si>
  <si>
    <t>C04-005</t>
  </si>
  <si>
    <t>Dịch vụ sửa chữa thiết bị tin học</t>
  </si>
  <si>
    <t>C04-006</t>
  </si>
  <si>
    <t>Dịch vụ sửa chữa hệ thống điện</t>
  </si>
  <si>
    <t>C04-007</t>
  </si>
  <si>
    <t>Dịch vụ taxi (công nghệ, truyền thống)</t>
  </si>
  <si>
    <t>C04-008</t>
  </si>
  <si>
    <t>Dịch vụ thuê văn phòng tại VPĐH Pleiku</t>
  </si>
  <si>
    <t>C04-009</t>
  </si>
  <si>
    <t>Dịch vụ thuê văn phòng tại VP. Sadora</t>
  </si>
  <si>
    <t>C04-010</t>
  </si>
  <si>
    <t>Dịch vụ vệ sinh công nghiệp</t>
  </si>
  <si>
    <t>C04-011</t>
  </si>
  <si>
    <t>Dịch vụ xuất nhập cảnh tại cửa khẩu (bao gồm visa..)</t>
  </si>
  <si>
    <t>C04-012</t>
  </si>
  <si>
    <t>Dịch vụ thuê máy in/photo</t>
  </si>
  <si>
    <t>C04-013</t>
  </si>
  <si>
    <t>Dịch vụ dịch thuật</t>
  </si>
  <si>
    <t>C04-014</t>
  </si>
  <si>
    <t>Dịch vụ chuyển phát</t>
  </si>
  <si>
    <t>C04-015</t>
  </si>
  <si>
    <t>Dịch vụ cước viễn thông, internet</t>
  </si>
  <si>
    <t>C04-016</t>
  </si>
  <si>
    <t>C04-017</t>
  </si>
  <si>
    <t>Dịch vụ gửi xe</t>
  </si>
  <si>
    <t>C04-018</t>
  </si>
  <si>
    <t>Dịch vụ chăm sóc cây xanh</t>
  </si>
  <si>
    <t>C04-019</t>
  </si>
  <si>
    <t>Chi phí hội nghị, họp khách hàng</t>
  </si>
  <si>
    <t>C04-020</t>
  </si>
  <si>
    <t>Công tác phí</t>
  </si>
  <si>
    <t>C04-021</t>
  </si>
  <si>
    <t>Dịch vụ điện văn phòng</t>
  </si>
  <si>
    <t>C04-022</t>
  </si>
  <si>
    <t>Dịch vụ nước sinh hoạt văn phòng</t>
  </si>
  <si>
    <t>C04-023</t>
  </si>
  <si>
    <t>Dịch vụ nước uống văn phòng</t>
  </si>
  <si>
    <t>C04-024</t>
  </si>
  <si>
    <t>Dịch vụ thu gom rác, xử lý chất thải văn phòng</t>
  </si>
  <si>
    <t>C04-025</t>
  </si>
  <si>
    <t>Xăng, dầu sử dụng chạy máy văn phòng</t>
  </si>
  <si>
    <t>C04-026</t>
  </si>
  <si>
    <t>Nhiên liệu phục vụ công việc của CB-NV</t>
  </si>
  <si>
    <t>C04-027</t>
  </si>
  <si>
    <t>Nhiên liệu phục vụ xe công</t>
  </si>
  <si>
    <t>C04-028</t>
  </si>
  <si>
    <t>Dịch vụ xe ngoài phục vụ công tác</t>
  </si>
  <si>
    <t>C04-029</t>
  </si>
  <si>
    <t>Các loại phí: Cầu đường, đăng kiểm, rửa xe, bảo hiểm, liên vận,giữ xe…</t>
  </si>
  <si>
    <t>C04-030</t>
  </si>
  <si>
    <t>Chi phí sữa chữa, bảo dưỡng xe</t>
  </si>
  <si>
    <t>C04-031</t>
  </si>
  <si>
    <t>Duy tu bảo trì điện nước và dụng cụ văn phòng</t>
  </si>
  <si>
    <t>C04-032</t>
  </si>
  <si>
    <t>Dịch vụ khác</t>
  </si>
  <si>
    <t>C</t>
  </si>
  <si>
    <t>C02</t>
  </si>
  <si>
    <t>Chi phí giao tế</t>
  </si>
  <si>
    <t>C02-001</t>
  </si>
  <si>
    <t>Thăm hỏi ốm đau, thai sản</t>
  </si>
  <si>
    <t>GIAOTE</t>
  </si>
  <si>
    <t>C02-002</t>
  </si>
  <si>
    <t>Thăm viếng tang chế</t>
  </si>
  <si>
    <t>C02-003</t>
  </si>
  <si>
    <t>Quà tết cho CB-NV</t>
  </si>
  <si>
    <t>C02-004</t>
  </si>
  <si>
    <t>Quà tặng cho CB-NV</t>
  </si>
  <si>
    <t>C02-005</t>
  </si>
  <si>
    <t>Chi phí về phép cho CB-NV</t>
  </si>
  <si>
    <t>C02-006</t>
  </si>
  <si>
    <t>Hoa chúc mừng, chia buồn CB-NV</t>
  </si>
  <si>
    <t>C02-007</t>
  </si>
  <si>
    <t>Quà tặng cho khách</t>
  </si>
  <si>
    <t>C02-008</t>
  </si>
  <si>
    <t>Hoa chúc mừng, chia buồn cho khách</t>
  </si>
  <si>
    <t>Phương tiện vận tải, quản lý xe công</t>
  </si>
  <si>
    <t>Chi phí quản lý xe công</t>
  </si>
  <si>
    <t>PHIẾU ĐỀ XUẤT</t>
  </si>
  <si>
    <t>Ban Kế toán THACO AGRI</t>
  </si>
  <si>
    <t>02/2025/ĐX-THACO AGRI</t>
  </si>
  <si>
    <t>Đề xuất mua các văn phòng phẩm phục vụ cho nhu cầu công việc tháng 10/2026, như sau:</t>
  </si>
  <si>
    <t>Nội dung đề xuất:</t>
  </si>
  <si>
    <t>STT</t>
  </si>
  <si>
    <t>Tên sản phẩm</t>
  </si>
  <si>
    <t>ĐVT</t>
  </si>
  <si>
    <t>Số lượng</t>
  </si>
  <si>
    <t>Ghi chú</t>
  </si>
  <si>
    <t>TỔNG CỘNG</t>
  </si>
  <si>
    <r>
      <rPr>
        <b/>
        <u/>
        <sz val="13"/>
        <color theme="1"/>
        <rFont val="Times New Roman"/>
        <family val="1"/>
      </rPr>
      <t>Đơn vị chịu chi phí:</t>
    </r>
    <r>
      <rPr>
        <u/>
        <sz val="13"/>
        <color theme="1"/>
        <rFont val="Times New Roman"/>
        <family val="1"/>
      </rPr>
      <t xml:space="preserve"> </t>
    </r>
    <r>
      <rPr>
        <b/>
        <u/>
        <sz val="13"/>
        <color theme="1"/>
        <rFont val="Times New Roman"/>
        <family val="1"/>
      </rPr>
      <t>THACO AGRI</t>
    </r>
  </si>
  <si>
    <t>Phòng Quản trị Văn phòng</t>
  </si>
  <si>
    <t>Trưởng phòng/Ban</t>
  </si>
  <si>
    <t>Về việc: 3</t>
  </si>
  <si>
    <t>Đơn vị/Bộ phận trình: 2</t>
  </si>
  <si>
    <t>Họ và tên: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</si>
</sst>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Play"/>
    </font>
    <font>
      <b/>
      <sz val="10"/>
      <color theme="1"/>
      <name val="Aptos"/>
      <family val="2"/>
    </font>
    <font>
      <b/>
      <sz val="10"/>
      <color theme="1"/>
      <name val="Arial"/>
      <family val="2"/>
    </font>
    <font>
      <sz val="12"/>
      <color theme="1"/>
      <name val="Calibri"/>
      <family val="1"/>
      <scheme val="minor"/>
    </font>
    <font>
      <b/>
      <sz val="12"/>
      <color theme="1"/>
      <name val="Cambria"/>
      <family val="1"/>
    </font>
    <font>
      <sz val="12"/>
      <name val="Times New Roman"/>
      <family val="1"/>
    </font>
    <font>
      <b/>
      <sz val="20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rgb="FF000000"/>
      <name val="Times New Roman"/>
      <family val="1"/>
    </font>
    <font>
      <b/>
      <u/>
      <sz val="13"/>
      <color theme="1"/>
      <name val="Times New Roman"/>
      <family val="1"/>
    </font>
    <font>
      <u/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D8D8D8"/>
        <bgColor rgb="FFD8D8D8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D9E1F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xfId="0"/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9" fillId="0" borderId="3" xfId="1" applyFont="1" applyBorder="1" applyAlignment="1">
      <alignment horizontal="left" vertical="center" wrapText="1"/>
    </xf>
    <xf numFmtId="0" fontId="5" fillId="0" borderId="0" xfId="1"/>
    <xf numFmtId="0" fontId="9" fillId="0" borderId="6" xfId="1" applyFont="1" applyBorder="1" applyAlignment="1">
      <alignment horizontal="left" vertical="center" wrapText="1"/>
    </xf>
    <xf numFmtId="164" fontId="9" fillId="0" borderId="8" xfId="1" applyNumberFormat="1" applyFont="1" applyBorder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1" fillId="0" borderId="0" xfId="1" applyFont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left"/>
    </xf>
    <xf numFmtId="0" fontId="12" fillId="0" borderId="0" xfId="1" applyFont="1"/>
    <xf numFmtId="0" fontId="13" fillId="5" borderId="10" xfId="1" applyFont="1" applyFill="1" applyBorder="1" applyAlignment="1">
      <alignment horizontal="center" vertical="center"/>
    </xf>
    <xf numFmtId="0" fontId="13" fillId="5" borderId="10" xfId="1" applyFont="1" applyFill="1" applyBorder="1" applyAlignment="1">
      <alignment horizontal="center" vertical="center" wrapText="1"/>
    </xf>
    <xf numFmtId="0" fontId="14" fillId="5" borderId="0" xfId="1" applyFont="1" applyFill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3" fontId="11" fillId="0" borderId="10" xfId="1" applyNumberFormat="1" applyFont="1" applyBorder="1" applyAlignment="1">
      <alignment horizontal="center" vertical="center"/>
    </xf>
    <xf numFmtId="3" fontId="15" fillId="0" borderId="10" xfId="1" applyNumberFormat="1" applyFont="1" applyBorder="1" applyAlignment="1">
      <alignment horizontal="center"/>
    </xf>
    <xf numFmtId="0" fontId="10" fillId="0" borderId="0" xfId="1" applyFont="1" applyAlignment="1">
      <alignment vertical="center"/>
    </xf>
    <xf numFmtId="0" fontId="13" fillId="0" borderId="10" xfId="1" applyFont="1" applyBorder="1" applyAlignment="1">
      <alignment vertical="center"/>
    </xf>
    <xf numFmtId="3" fontId="14" fillId="0" borderId="10" xfId="1" applyNumberFormat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5" fillId="0" borderId="0" xfId="1"/>
    <xf numFmtId="0" fontId="18" fillId="5" borderId="11" xfId="1" applyFont="1" applyFill="1" applyBorder="1" applyAlignment="1">
      <alignment horizontal="center" vertical="center"/>
    </xf>
    <xf numFmtId="0" fontId="7" fillId="0" borderId="13" xfId="1" applyFont="1" applyBorder="1"/>
    <xf numFmtId="0" fontId="7" fillId="0" borderId="12" xfId="1" applyFont="1" applyBorder="1"/>
    <xf numFmtId="0" fontId="13" fillId="5" borderId="11" xfId="1" applyFont="1" applyFill="1" applyBorder="1" applyAlignment="1">
      <alignment horizontal="center" vertical="center"/>
    </xf>
    <xf numFmtId="0" fontId="11" fillId="0" borderId="11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1" fillId="0" borderId="11" xfId="1" applyFont="1" applyBorder="1" applyAlignment="1">
      <alignment horizontal="left" vertical="center" wrapText="1"/>
    </xf>
    <xf numFmtId="0" fontId="13" fillId="0" borderId="11" xfId="1" applyFont="1" applyBorder="1" applyAlignment="1">
      <alignment horizontal="center" vertical="center"/>
    </xf>
    <xf numFmtId="0" fontId="16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6" fillId="0" borderId="2" xfId="1" applyFont="1" applyBorder="1" applyAlignment="1">
      <alignment horizontal="center" vertical="center"/>
    </xf>
    <xf numFmtId="0" fontId="7" fillId="0" borderId="3" xfId="1" applyFont="1" applyBorder="1"/>
    <xf numFmtId="0" fontId="7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2" xfId="1" applyFont="1" applyBorder="1" applyAlignment="1">
      <alignment horizontal="center" vertical="center" wrapText="1"/>
    </xf>
    <xf numFmtId="0" fontId="7" fillId="0" borderId="4" xfId="1" applyFont="1" applyBorder="1"/>
    <xf numFmtId="0" fontId="7" fillId="0" borderId="9" xfId="1" applyFont="1" applyBorder="1"/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9BD61EAF-4E26-4FFB-BC54-B088959F1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933575" cy="190500"/>
    <xdr:pic>
      <xdr:nvPicPr>
        <xdr:cNvPr id="2" name="image3.jpg" title="Hình ảnh">
          <a:extLst>
            <a:ext uri="{FF2B5EF4-FFF2-40B4-BE49-F238E27FC236}">
              <a16:creationId xmlns:a16="http://schemas.microsoft.com/office/drawing/2014/main" id="{AF8FC672-3532-417A-9234-C23E7AC611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3350"/>
          <a:ext cx="1933575" cy="1905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ACOAGRI\Downloads\&#272;&#258;NG%20K&#221;%20VPP%20T10.2026%20-%20THACO%20AGRI%20(2).xlsx" TargetMode="External"/><Relationship Id="rId1" Type="http://schemas.openxmlformats.org/officeDocument/2006/relationships/externalLinkPath" Target="file:///C:\Users\THACOAGRI\Downloads\&#272;&#258;NG%20K&#221;%20VPP%20T10.2026%20-%20THACO%20AGRI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 tiết gói hàng"/>
      <sheetName val="TỔNG HỢP"/>
      <sheetName val="B.KToan"/>
      <sheetName val="B.Tài chính"/>
      <sheetName val="Ban Thu Mua THACO AGRI"/>
      <sheetName val="PXNKcklệthanh"/>
      <sheetName val="Phòng Quản trị VP"/>
      <sheetName val="BNsu"/>
      <sheetName val="B.SXCN"/>
      <sheetName val="Khối Công nghiệp"/>
      <sheetName val="B.CLKH"/>
      <sheetName val="B.Ply"/>
      <sheetName val="B.CNTT"/>
      <sheetName val="B.VHTT"/>
      <sheetName val="KhốiSXCAT"/>
      <sheetName val="Ban dự án Sâm &amp; được liệu"/>
      <sheetName val="B.KTCNBò"/>
      <sheetName val="B.oto"/>
      <sheetName val="K.SX&amp;KTChuoidua"/>
      <sheetName val="B.CogioiNN"/>
      <sheetName val="B.SXKTCS&amp;CLN"/>
      <sheetName val="Ban Sầu riêng"/>
      <sheetName val="Khối Heo"/>
      <sheetName val="TT nuôi cấy mô"/>
      <sheetName val="P.Kế hoạch KLH CN"/>
    </sheetNames>
    <sheetDataSet>
      <sheetData sheetId="0"/>
      <sheetData sheetId="1">
        <row r="5">
          <cell r="B5" t="str">
            <v>Acco sắt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83DE-4881-4253-AB57-CA3AD100C6D3}">
  <sheetPr>
    <pageSetUpPr fitToPage="1"/>
  </sheetPr>
  <dimension ref="A1:N891"/>
  <sheetViews>
    <sheetView tabSelected="1" workbookViewId="0">
      <selection activeCell="B11" sqref="B11:C11"/>
    </sheetView>
  </sheetViews>
  <sheetFormatPr defaultColWidth="12.46484375" defaultRowHeight="15" customHeight="1"/>
  <cols>
    <col min="1" max="1" width="5.46484375" style="12" customWidth="1"/>
    <col min="2" max="2" width="22.19921875" style="12" customWidth="1"/>
    <col min="3" max="3" width="35.19921875" style="12" customWidth="1"/>
    <col min="4" max="5" width="17.46484375" style="12" customWidth="1"/>
    <col min="6" max="6" width="30.33203125" style="12" customWidth="1"/>
    <col min="7" max="14" width="9.33203125" style="12" customWidth="1"/>
    <col min="15" max="16384" width="12.46484375" style="12"/>
  </cols>
  <sheetData>
    <row r="1" spans="1:14" ht="15.75">
      <c r="A1" s="43"/>
      <c r="B1" s="44"/>
      <c r="C1" s="49" t="s">
        <v>306</v>
      </c>
      <c r="D1" s="50"/>
      <c r="E1" s="50"/>
      <c r="F1" s="11" t="s">
        <v>307</v>
      </c>
    </row>
    <row r="2" spans="1:14" ht="15.75">
      <c r="A2" s="45"/>
      <c r="B2" s="46"/>
      <c r="C2" s="45"/>
      <c r="D2" s="32"/>
      <c r="E2" s="32"/>
      <c r="F2" s="13" t="s">
        <v>308</v>
      </c>
    </row>
    <row r="3" spans="1:14" ht="14.25" customHeight="1">
      <c r="A3" s="47"/>
      <c r="B3" s="48"/>
      <c r="C3" s="47"/>
      <c r="D3" s="51"/>
      <c r="E3" s="51"/>
      <c r="F3" s="14">
        <f ca="1">TODAY()</f>
        <v>46321</v>
      </c>
    </row>
    <row r="4" spans="1:14" ht="15.75">
      <c r="E4" s="15"/>
      <c r="F4" s="16"/>
    </row>
    <row r="5" spans="1:14" ht="16.899999999999999">
      <c r="A5" s="17" t="s">
        <v>322</v>
      </c>
      <c r="B5" s="17"/>
      <c r="E5" s="15"/>
      <c r="F5" s="16"/>
    </row>
    <row r="6" spans="1:14" ht="16.899999999999999">
      <c r="A6" s="17" t="s">
        <v>321</v>
      </c>
      <c r="B6" s="17"/>
      <c r="C6" s="17"/>
      <c r="D6" s="17"/>
      <c r="E6" s="18"/>
      <c r="F6" s="19"/>
    </row>
    <row r="7" spans="1:14" ht="16.899999999999999">
      <c r="A7" s="17" t="s">
        <v>320</v>
      </c>
      <c r="B7" s="17"/>
      <c r="C7" s="17"/>
      <c r="D7" s="17"/>
      <c r="E7" s="18"/>
      <c r="F7" s="19"/>
    </row>
    <row r="8" spans="1:14" ht="17.649999999999999">
      <c r="A8" s="42">
        <v>2</v>
      </c>
      <c r="B8" s="32"/>
      <c r="C8" s="21" t="s">
        <v>309</v>
      </c>
      <c r="D8" s="17"/>
      <c r="E8" s="18"/>
      <c r="F8" s="19"/>
    </row>
    <row r="9" spans="1:14" ht="16.899999999999999">
      <c r="A9" s="17" t="s">
        <v>310</v>
      </c>
      <c r="B9" s="17"/>
      <c r="C9" s="17"/>
      <c r="D9" s="17"/>
      <c r="E9" s="18"/>
      <c r="F9" s="19"/>
    </row>
    <row r="10" spans="1:14" ht="57.75" customHeight="1">
      <c r="A10" s="22" t="s">
        <v>311</v>
      </c>
      <c r="B10" s="36" t="s">
        <v>312</v>
      </c>
      <c r="C10" s="35"/>
      <c r="D10" s="23" t="s">
        <v>313</v>
      </c>
      <c r="E10" s="23" t="s">
        <v>314</v>
      </c>
      <c r="F10" s="22" t="s">
        <v>315</v>
      </c>
      <c r="G10" s="24"/>
      <c r="H10" s="24"/>
      <c r="I10" s="24"/>
      <c r="J10" s="24"/>
      <c r="K10" s="24"/>
      <c r="L10" s="24"/>
      <c r="M10" s="24"/>
      <c r="N10" s="24"/>
    </row>
    <row r="11" spans="1:14" ht="16.899999999999999">
      <c r="A11" s="25"/>
      <c r="B11" s="39"/>
      <c r="C11" s="35"/>
      <c r="D11" s="26"/>
      <c r="E11" s="27" t="str">
        <f>IF('[1]TỔNG HỢP'!E5=0,"",'[1]TỔNG HỢP'!E5)</f>
        <v/>
      </c>
      <c r="F11" s="25"/>
      <c r="G11" s="15"/>
      <c r="H11" s="15"/>
      <c r="I11" s="15"/>
      <c r="J11" s="15"/>
      <c r="K11" s="15"/>
      <c r="L11" s="15"/>
      <c r="M11" s="15"/>
      <c r="N11" s="15"/>
    </row>
    <row r="12" spans="1:14" ht="16.899999999999999">
      <c r="A12" s="25"/>
      <c r="B12" s="39"/>
      <c r="C12" s="35"/>
      <c r="D12" s="26"/>
      <c r="E12" s="27" t="str">
        <f>IF('[1]TỔNG HỢP'!E6=0,"",'[1]TỔNG HỢP'!E6)</f>
        <v/>
      </c>
      <c r="F12" s="25"/>
      <c r="G12" s="15"/>
      <c r="H12" s="15"/>
      <c r="I12" s="15"/>
      <c r="J12" s="15"/>
      <c r="K12" s="15"/>
      <c r="L12" s="15"/>
      <c r="M12" s="15"/>
      <c r="N12" s="15"/>
    </row>
    <row r="13" spans="1:14" ht="16.5">
      <c r="A13" s="29"/>
      <c r="B13" s="40" t="s">
        <v>316</v>
      </c>
      <c r="C13" s="35"/>
      <c r="E13" s="30">
        <f>SUM(E11:E12)</f>
        <v>0</v>
      </c>
      <c r="F13" s="31"/>
      <c r="G13" s="28"/>
      <c r="H13" s="28"/>
      <c r="I13" s="28"/>
      <c r="J13" s="28"/>
      <c r="K13" s="28"/>
      <c r="L13" s="28"/>
      <c r="M13" s="28"/>
      <c r="N13" s="28"/>
    </row>
    <row r="14" spans="1:14" ht="15.75">
      <c r="B14" s="32"/>
      <c r="C14" s="32"/>
      <c r="E14" s="15"/>
      <c r="F14" s="16"/>
    </row>
    <row r="15" spans="1:14" ht="16.899999999999999">
      <c r="A15" s="41" t="s">
        <v>317</v>
      </c>
      <c r="B15" s="32"/>
      <c r="C15" s="32"/>
      <c r="D15" s="32"/>
      <c r="E15" s="32"/>
      <c r="F15" s="32"/>
    </row>
    <row r="16" spans="1:14" ht="16.899999999999999">
      <c r="A16" s="17"/>
      <c r="B16" s="42"/>
      <c r="C16" s="32"/>
      <c r="D16" s="20"/>
      <c r="E16" s="18"/>
      <c r="F16" s="19"/>
    </row>
    <row r="17" spans="1:14" ht="23.25" customHeight="1">
      <c r="A17" s="33" t="s">
        <v>318</v>
      </c>
      <c r="B17" s="34"/>
      <c r="C17" s="35"/>
      <c r="D17" s="36" t="s">
        <v>319</v>
      </c>
      <c r="E17" s="34"/>
      <c r="F17" s="35"/>
      <c r="G17" s="28"/>
      <c r="H17" s="28"/>
      <c r="I17" s="28"/>
      <c r="J17" s="28"/>
      <c r="K17" s="28"/>
      <c r="L17" s="28"/>
      <c r="M17" s="28"/>
      <c r="N17" s="28"/>
    </row>
    <row r="18" spans="1:14" ht="119.25" customHeight="1">
      <c r="A18" s="37"/>
      <c r="B18" s="34"/>
      <c r="C18" s="35"/>
      <c r="D18" s="38"/>
      <c r="E18" s="34"/>
      <c r="F18" s="35"/>
    </row>
    <row r="19" spans="1:14" ht="15.75">
      <c r="B19" s="32"/>
      <c r="C19" s="32"/>
      <c r="E19" s="15"/>
      <c r="F19" s="16"/>
    </row>
    <row r="20" spans="1:14" ht="15.75">
      <c r="B20" s="32"/>
      <c r="C20" s="32"/>
      <c r="E20" s="15"/>
      <c r="F20" s="16"/>
    </row>
    <row r="21" spans="1:14" ht="15.75">
      <c r="B21" s="32"/>
      <c r="C21" s="32"/>
      <c r="E21" s="15"/>
      <c r="F21" s="16"/>
    </row>
    <row r="22" spans="1:14" ht="15.75">
      <c r="B22" s="32"/>
      <c r="C22" s="32"/>
      <c r="E22" s="15"/>
      <c r="F22" s="16"/>
    </row>
    <row r="23" spans="1:14" ht="15.75">
      <c r="B23" s="32"/>
      <c r="C23" s="32"/>
      <c r="E23" s="15"/>
      <c r="F23" s="16"/>
    </row>
    <row r="24" spans="1:14" ht="15.75">
      <c r="B24" s="32"/>
      <c r="C24" s="32"/>
      <c r="E24" s="15"/>
      <c r="F24" s="16"/>
    </row>
    <row r="25" spans="1:14" ht="15.75">
      <c r="B25" s="32"/>
      <c r="C25" s="32"/>
      <c r="E25" s="15"/>
      <c r="F25" s="16"/>
    </row>
    <row r="26" spans="1:14" ht="15.75">
      <c r="B26" s="32"/>
      <c r="C26" s="32"/>
      <c r="E26" s="15"/>
      <c r="F26" s="16"/>
    </row>
    <row r="27" spans="1:14" ht="15.75">
      <c r="B27" s="32"/>
      <c r="C27" s="32"/>
      <c r="E27" s="15"/>
      <c r="F27" s="16"/>
    </row>
    <row r="28" spans="1:14" ht="15.75">
      <c r="B28" s="32"/>
      <c r="C28" s="32"/>
      <c r="E28" s="15"/>
      <c r="F28" s="16"/>
    </row>
    <row r="29" spans="1:14" ht="15.75">
      <c r="B29" s="32"/>
      <c r="C29" s="32"/>
      <c r="E29" s="15"/>
      <c r="F29" s="16"/>
    </row>
    <row r="30" spans="1:14" ht="15.75">
      <c r="B30" s="32"/>
      <c r="C30" s="32"/>
      <c r="E30" s="15"/>
      <c r="F30" s="16"/>
    </row>
    <row r="31" spans="1:14" ht="15.75">
      <c r="B31" s="32"/>
      <c r="C31" s="32"/>
      <c r="E31" s="15"/>
      <c r="F31" s="16"/>
    </row>
    <row r="32" spans="1:14" ht="15.75">
      <c r="B32" s="32"/>
      <c r="C32" s="32"/>
      <c r="E32" s="15"/>
      <c r="F32" s="16"/>
    </row>
    <row r="33" spans="2:6" ht="15.75">
      <c r="B33" s="32"/>
      <c r="C33" s="32"/>
      <c r="E33" s="15"/>
      <c r="F33" s="16"/>
    </row>
    <row r="34" spans="2:6" ht="15.75">
      <c r="B34" s="32"/>
      <c r="C34" s="32"/>
      <c r="E34" s="15"/>
      <c r="F34" s="16"/>
    </row>
    <row r="35" spans="2:6" ht="15.75">
      <c r="B35" s="32"/>
      <c r="C35" s="32"/>
      <c r="E35" s="15"/>
      <c r="F35" s="16"/>
    </row>
    <row r="36" spans="2:6" ht="15.75">
      <c r="B36" s="32"/>
      <c r="C36" s="32"/>
      <c r="E36" s="15"/>
      <c r="F36" s="16"/>
    </row>
    <row r="37" spans="2:6" ht="15.75">
      <c r="B37" s="32"/>
      <c r="C37" s="32"/>
      <c r="E37" s="15"/>
      <c r="F37" s="16"/>
    </row>
    <row r="38" spans="2:6" ht="15.75">
      <c r="B38" s="32"/>
      <c r="C38" s="32"/>
      <c r="E38" s="15"/>
      <c r="F38" s="16"/>
    </row>
    <row r="39" spans="2:6" ht="15.75">
      <c r="B39" s="32"/>
      <c r="C39" s="32"/>
      <c r="E39" s="15"/>
      <c r="F39" s="16"/>
    </row>
    <row r="40" spans="2:6" ht="15.75">
      <c r="B40" s="32"/>
      <c r="C40" s="32"/>
      <c r="E40" s="15"/>
      <c r="F40" s="16"/>
    </row>
    <row r="41" spans="2:6" ht="15.75">
      <c r="B41" s="32"/>
      <c r="C41" s="32"/>
      <c r="E41" s="15"/>
      <c r="F41" s="16"/>
    </row>
    <row r="42" spans="2:6" ht="15.75">
      <c r="B42" s="32"/>
      <c r="C42" s="32"/>
      <c r="E42" s="15"/>
      <c r="F42" s="16"/>
    </row>
    <row r="43" spans="2:6" ht="15.75">
      <c r="B43" s="32"/>
      <c r="C43" s="32"/>
      <c r="E43" s="15"/>
      <c r="F43" s="16"/>
    </row>
    <row r="44" spans="2:6" ht="15.75">
      <c r="B44" s="32"/>
      <c r="C44" s="32"/>
      <c r="E44" s="15"/>
      <c r="F44" s="16"/>
    </row>
    <row r="45" spans="2:6" ht="15.75">
      <c r="B45" s="32"/>
      <c r="C45" s="32"/>
      <c r="E45" s="15"/>
      <c r="F45" s="16"/>
    </row>
    <row r="46" spans="2:6" ht="15.75">
      <c r="B46" s="32"/>
      <c r="C46" s="32"/>
      <c r="E46" s="15"/>
      <c r="F46" s="16"/>
    </row>
    <row r="47" spans="2:6" ht="15.75">
      <c r="B47" s="32"/>
      <c r="C47" s="32"/>
      <c r="E47" s="15"/>
      <c r="F47" s="16"/>
    </row>
    <row r="48" spans="2:6" ht="15.75">
      <c r="B48" s="32"/>
      <c r="C48" s="32"/>
      <c r="E48" s="15"/>
      <c r="F48" s="16"/>
    </row>
    <row r="49" spans="2:6" ht="15.75">
      <c r="B49" s="32"/>
      <c r="C49" s="32"/>
      <c r="E49" s="15"/>
      <c r="F49" s="16"/>
    </row>
    <row r="50" spans="2:6" ht="15.75">
      <c r="B50" s="32"/>
      <c r="C50" s="32"/>
      <c r="E50" s="15"/>
      <c r="F50" s="16"/>
    </row>
    <row r="51" spans="2:6" ht="15.75">
      <c r="B51" s="32"/>
      <c r="C51" s="32"/>
      <c r="E51" s="15"/>
      <c r="F51" s="16"/>
    </row>
    <row r="52" spans="2:6" ht="15.75">
      <c r="B52" s="32"/>
      <c r="C52" s="32"/>
      <c r="E52" s="15"/>
      <c r="F52" s="16"/>
    </row>
    <row r="53" spans="2:6" ht="15.75">
      <c r="B53" s="32"/>
      <c r="C53" s="32"/>
      <c r="E53" s="15"/>
      <c r="F53" s="16"/>
    </row>
    <row r="54" spans="2:6" ht="15.75">
      <c r="B54" s="32"/>
      <c r="C54" s="32"/>
      <c r="E54" s="15"/>
      <c r="F54" s="16"/>
    </row>
    <row r="55" spans="2:6" ht="15.75">
      <c r="B55" s="32"/>
      <c r="C55" s="32"/>
      <c r="E55" s="15"/>
      <c r="F55" s="16"/>
    </row>
    <row r="56" spans="2:6" ht="15.75">
      <c r="B56" s="32"/>
      <c r="C56" s="32"/>
      <c r="E56" s="15"/>
      <c r="F56" s="16"/>
    </row>
    <row r="57" spans="2:6" ht="15.75">
      <c r="B57" s="32"/>
      <c r="C57" s="32"/>
      <c r="E57" s="15"/>
      <c r="F57" s="16"/>
    </row>
    <row r="58" spans="2:6" ht="15.75">
      <c r="B58" s="32"/>
      <c r="C58" s="32"/>
      <c r="E58" s="15"/>
      <c r="F58" s="16"/>
    </row>
    <row r="59" spans="2:6" ht="15.75">
      <c r="B59" s="32"/>
      <c r="C59" s="32"/>
      <c r="E59" s="15"/>
      <c r="F59" s="16"/>
    </row>
    <row r="60" spans="2:6" ht="15.75">
      <c r="B60" s="32"/>
      <c r="C60" s="32"/>
      <c r="E60" s="15"/>
      <c r="F60" s="16"/>
    </row>
    <row r="61" spans="2:6" ht="15.75">
      <c r="B61" s="32"/>
      <c r="C61" s="32"/>
      <c r="E61" s="15"/>
      <c r="F61" s="16"/>
    </row>
    <row r="62" spans="2:6" ht="15.75">
      <c r="B62" s="32"/>
      <c r="C62" s="32"/>
      <c r="E62" s="15"/>
      <c r="F62" s="16"/>
    </row>
    <row r="63" spans="2:6" ht="15.75">
      <c r="B63" s="32"/>
      <c r="C63" s="32"/>
      <c r="E63" s="15"/>
      <c r="F63" s="16"/>
    </row>
    <row r="64" spans="2:6" ht="15.75">
      <c r="B64" s="32"/>
      <c r="C64" s="32"/>
      <c r="E64" s="15"/>
      <c r="F64" s="16"/>
    </row>
    <row r="65" spans="2:6" ht="15.75">
      <c r="B65" s="32"/>
      <c r="C65" s="32"/>
      <c r="E65" s="15"/>
      <c r="F65" s="16"/>
    </row>
    <row r="66" spans="2:6" ht="15.75">
      <c r="B66" s="32"/>
      <c r="C66" s="32"/>
      <c r="E66" s="15"/>
      <c r="F66" s="16"/>
    </row>
    <row r="67" spans="2:6" ht="15.75">
      <c r="B67" s="32"/>
      <c r="C67" s="32"/>
      <c r="E67" s="15"/>
      <c r="F67" s="16"/>
    </row>
    <row r="68" spans="2:6" ht="15.75">
      <c r="B68" s="32"/>
      <c r="C68" s="32"/>
      <c r="E68" s="15"/>
      <c r="F68" s="16"/>
    </row>
    <row r="69" spans="2:6" ht="15.75">
      <c r="B69" s="32"/>
      <c r="C69" s="32"/>
      <c r="E69" s="15"/>
      <c r="F69" s="16"/>
    </row>
    <row r="70" spans="2:6" ht="15.75">
      <c r="B70" s="32"/>
      <c r="C70" s="32"/>
      <c r="E70" s="15"/>
      <c r="F70" s="16"/>
    </row>
    <row r="71" spans="2:6" ht="15.75">
      <c r="B71" s="32"/>
      <c r="C71" s="32"/>
      <c r="E71" s="15"/>
      <c r="F71" s="16"/>
    </row>
    <row r="72" spans="2:6" ht="15.75">
      <c r="B72" s="32"/>
      <c r="C72" s="32"/>
      <c r="E72" s="15"/>
      <c r="F72" s="16"/>
    </row>
    <row r="73" spans="2:6" ht="15.75">
      <c r="B73" s="32"/>
      <c r="C73" s="32"/>
      <c r="E73" s="15"/>
      <c r="F73" s="16"/>
    </row>
    <row r="74" spans="2:6" ht="15.75">
      <c r="B74" s="32"/>
      <c r="C74" s="32"/>
      <c r="E74" s="15"/>
      <c r="F74" s="16"/>
    </row>
    <row r="75" spans="2:6" ht="15.75">
      <c r="B75" s="32"/>
      <c r="C75" s="32"/>
      <c r="E75" s="15"/>
      <c r="F75" s="16"/>
    </row>
    <row r="76" spans="2:6" ht="15.75">
      <c r="B76" s="32"/>
      <c r="C76" s="32"/>
      <c r="E76" s="15"/>
      <c r="F76" s="16"/>
    </row>
    <row r="77" spans="2:6" ht="15.75">
      <c r="B77" s="32"/>
      <c r="C77" s="32"/>
      <c r="E77" s="15"/>
      <c r="F77" s="16"/>
    </row>
    <row r="78" spans="2:6" ht="15.75">
      <c r="B78" s="32"/>
      <c r="C78" s="32"/>
      <c r="E78" s="15"/>
      <c r="F78" s="16"/>
    </row>
    <row r="79" spans="2:6" ht="15.75">
      <c r="B79" s="32"/>
      <c r="C79" s="32"/>
      <c r="E79" s="15"/>
      <c r="F79" s="16"/>
    </row>
    <row r="80" spans="2:6" ht="15.75">
      <c r="B80" s="32"/>
      <c r="C80" s="32"/>
      <c r="E80" s="15"/>
      <c r="F80" s="16"/>
    </row>
    <row r="81" spans="2:6" ht="15.75">
      <c r="B81" s="32"/>
      <c r="C81" s="32"/>
      <c r="E81" s="15"/>
      <c r="F81" s="16"/>
    </row>
    <row r="82" spans="2:6" ht="15.75">
      <c r="B82" s="32"/>
      <c r="C82" s="32"/>
      <c r="E82" s="15"/>
      <c r="F82" s="16"/>
    </row>
    <row r="83" spans="2:6" ht="15.75">
      <c r="B83" s="32"/>
      <c r="C83" s="32"/>
      <c r="E83" s="15"/>
      <c r="F83" s="16"/>
    </row>
    <row r="84" spans="2:6" ht="15.75">
      <c r="B84" s="32"/>
      <c r="C84" s="32"/>
      <c r="E84" s="15"/>
      <c r="F84" s="16"/>
    </row>
    <row r="85" spans="2:6" ht="15.75">
      <c r="B85" s="32"/>
      <c r="C85" s="32"/>
      <c r="E85" s="15"/>
      <c r="F85" s="16"/>
    </row>
    <row r="86" spans="2:6" ht="15.75">
      <c r="B86" s="32"/>
      <c r="C86" s="32"/>
      <c r="E86" s="15"/>
      <c r="F86" s="16"/>
    </row>
    <row r="87" spans="2:6" ht="15.75">
      <c r="B87" s="32"/>
      <c r="C87" s="32"/>
      <c r="E87" s="15"/>
      <c r="F87" s="16"/>
    </row>
    <row r="88" spans="2:6" ht="15.75">
      <c r="B88" s="32"/>
      <c r="C88" s="32"/>
      <c r="E88" s="15"/>
      <c r="F88" s="16"/>
    </row>
    <row r="89" spans="2:6" ht="15.75">
      <c r="B89" s="32"/>
      <c r="C89" s="32"/>
      <c r="E89" s="15"/>
      <c r="F89" s="16"/>
    </row>
    <row r="90" spans="2:6" ht="15.75">
      <c r="B90" s="32"/>
      <c r="C90" s="32"/>
      <c r="E90" s="15"/>
      <c r="F90" s="16"/>
    </row>
    <row r="91" spans="2:6" ht="15.75">
      <c r="B91" s="32"/>
      <c r="C91" s="32"/>
      <c r="E91" s="15"/>
      <c r="F91" s="16"/>
    </row>
    <row r="92" spans="2:6" ht="15.75">
      <c r="B92" s="32"/>
      <c r="C92" s="32"/>
      <c r="E92" s="15"/>
      <c r="F92" s="16"/>
    </row>
    <row r="93" spans="2:6" ht="15.75">
      <c r="B93" s="32"/>
      <c r="C93" s="32"/>
      <c r="E93" s="15"/>
      <c r="F93" s="16"/>
    </row>
    <row r="94" spans="2:6" ht="15.75">
      <c r="B94" s="32"/>
      <c r="C94" s="32"/>
      <c r="E94" s="15"/>
      <c r="F94" s="16"/>
    </row>
    <row r="95" spans="2:6" ht="15.75">
      <c r="B95" s="32"/>
      <c r="C95" s="32"/>
      <c r="E95" s="15"/>
      <c r="F95" s="16"/>
    </row>
    <row r="96" spans="2:6" ht="15.75">
      <c r="B96" s="32"/>
      <c r="C96" s="32"/>
      <c r="E96" s="15"/>
      <c r="F96" s="16"/>
    </row>
    <row r="97" spans="2:6" ht="15.75">
      <c r="B97" s="32"/>
      <c r="C97" s="32"/>
      <c r="E97" s="15"/>
      <c r="F97" s="16"/>
    </row>
    <row r="98" spans="2:6" ht="15.75">
      <c r="B98" s="32"/>
      <c r="C98" s="32"/>
      <c r="E98" s="15"/>
      <c r="F98" s="16"/>
    </row>
    <row r="99" spans="2:6" ht="15.75">
      <c r="B99" s="32"/>
      <c r="C99" s="32"/>
      <c r="E99" s="15"/>
      <c r="F99" s="16"/>
    </row>
    <row r="100" spans="2:6" ht="15.75">
      <c r="B100" s="32"/>
      <c r="C100" s="32"/>
      <c r="E100" s="15"/>
      <c r="F100" s="16"/>
    </row>
    <row r="101" spans="2:6" ht="15.75">
      <c r="B101" s="32"/>
      <c r="C101" s="32"/>
      <c r="E101" s="15"/>
      <c r="F101" s="16"/>
    </row>
    <row r="102" spans="2:6" ht="15.75">
      <c r="B102" s="32"/>
      <c r="C102" s="32"/>
      <c r="E102" s="15"/>
      <c r="F102" s="16"/>
    </row>
    <row r="103" spans="2:6" ht="15.75">
      <c r="B103" s="32"/>
      <c r="C103" s="32"/>
      <c r="E103" s="15"/>
      <c r="F103" s="16"/>
    </row>
    <row r="104" spans="2:6" ht="15.75">
      <c r="B104" s="32"/>
      <c r="C104" s="32"/>
      <c r="E104" s="15"/>
      <c r="F104" s="16"/>
    </row>
    <row r="105" spans="2:6" ht="15.75">
      <c r="B105" s="32"/>
      <c r="C105" s="32"/>
      <c r="E105" s="15"/>
      <c r="F105" s="16"/>
    </row>
    <row r="106" spans="2:6" ht="15.75">
      <c r="B106" s="32"/>
      <c r="C106" s="32"/>
      <c r="E106" s="15"/>
      <c r="F106" s="16"/>
    </row>
    <row r="107" spans="2:6" ht="15.75">
      <c r="B107" s="32"/>
      <c r="C107" s="32"/>
      <c r="E107" s="15"/>
      <c r="F107" s="16"/>
    </row>
    <row r="108" spans="2:6" ht="15.75">
      <c r="B108" s="32"/>
      <c r="C108" s="32"/>
      <c r="E108" s="15"/>
      <c r="F108" s="16"/>
    </row>
    <row r="109" spans="2:6" ht="15.75">
      <c r="B109" s="32"/>
      <c r="C109" s="32"/>
      <c r="E109" s="15"/>
      <c r="F109" s="16"/>
    </row>
    <row r="110" spans="2:6" ht="15.75">
      <c r="B110" s="32"/>
      <c r="C110" s="32"/>
      <c r="E110" s="15"/>
      <c r="F110" s="16"/>
    </row>
    <row r="111" spans="2:6" ht="15.75">
      <c r="B111" s="32"/>
      <c r="C111" s="32"/>
      <c r="E111" s="15"/>
      <c r="F111" s="16"/>
    </row>
    <row r="112" spans="2:6" ht="15.75">
      <c r="B112" s="32"/>
      <c r="C112" s="32"/>
      <c r="E112" s="15"/>
      <c r="F112" s="16"/>
    </row>
    <row r="113" spans="2:6" ht="15.75">
      <c r="B113" s="32"/>
      <c r="C113" s="32"/>
      <c r="E113" s="15"/>
      <c r="F113" s="16"/>
    </row>
    <row r="114" spans="2:6" ht="15.75">
      <c r="B114" s="32"/>
      <c r="C114" s="32"/>
      <c r="E114" s="15"/>
      <c r="F114" s="16"/>
    </row>
    <row r="115" spans="2:6" ht="15.75">
      <c r="B115" s="32"/>
      <c r="C115" s="32"/>
      <c r="E115" s="15"/>
      <c r="F115" s="16"/>
    </row>
    <row r="116" spans="2:6" ht="15.75">
      <c r="B116" s="32"/>
      <c r="C116" s="32"/>
      <c r="E116" s="15"/>
      <c r="F116" s="16"/>
    </row>
    <row r="117" spans="2:6" ht="15.75">
      <c r="B117" s="32"/>
      <c r="C117" s="32"/>
      <c r="E117" s="15"/>
      <c r="F117" s="16"/>
    </row>
    <row r="118" spans="2:6" ht="15.75">
      <c r="B118" s="32"/>
      <c r="C118" s="32"/>
      <c r="E118" s="15"/>
      <c r="F118" s="16"/>
    </row>
    <row r="119" spans="2:6" ht="15.75">
      <c r="B119" s="32"/>
      <c r="C119" s="32"/>
      <c r="E119" s="15"/>
      <c r="F119" s="16"/>
    </row>
    <row r="120" spans="2:6" ht="15.75">
      <c r="B120" s="32"/>
      <c r="C120" s="32"/>
      <c r="E120" s="15"/>
      <c r="F120" s="16"/>
    </row>
    <row r="121" spans="2:6" ht="15.75">
      <c r="B121" s="32"/>
      <c r="C121" s="32"/>
      <c r="E121" s="15"/>
      <c r="F121" s="16"/>
    </row>
    <row r="122" spans="2:6" ht="15.75">
      <c r="B122" s="32"/>
      <c r="C122" s="32"/>
      <c r="E122" s="15"/>
      <c r="F122" s="16"/>
    </row>
    <row r="123" spans="2:6" ht="15.75">
      <c r="B123" s="32"/>
      <c r="C123" s="32"/>
      <c r="E123" s="15"/>
      <c r="F123" s="16"/>
    </row>
    <row r="124" spans="2:6" ht="15.75">
      <c r="B124" s="32"/>
      <c r="C124" s="32"/>
      <c r="E124" s="15"/>
      <c r="F124" s="16"/>
    </row>
    <row r="125" spans="2:6" ht="15.75">
      <c r="B125" s="32"/>
      <c r="C125" s="32"/>
      <c r="E125" s="15"/>
      <c r="F125" s="16"/>
    </row>
    <row r="126" spans="2:6" ht="15.75">
      <c r="B126" s="32"/>
      <c r="C126" s="32"/>
      <c r="E126" s="15"/>
      <c r="F126" s="16"/>
    </row>
    <row r="127" spans="2:6" ht="15.75">
      <c r="B127" s="32"/>
      <c r="C127" s="32"/>
      <c r="E127" s="15"/>
      <c r="F127" s="16"/>
    </row>
    <row r="128" spans="2:6" ht="15.75">
      <c r="B128" s="32"/>
      <c r="C128" s="32"/>
      <c r="E128" s="15"/>
      <c r="F128" s="16"/>
    </row>
    <row r="129" spans="2:6" ht="15.75">
      <c r="B129" s="32"/>
      <c r="C129" s="32"/>
      <c r="E129" s="15"/>
      <c r="F129" s="16"/>
    </row>
    <row r="130" spans="2:6" ht="15.75">
      <c r="B130" s="32"/>
      <c r="C130" s="32"/>
      <c r="E130" s="15"/>
      <c r="F130" s="16"/>
    </row>
    <row r="131" spans="2:6" ht="15.75">
      <c r="B131" s="32"/>
      <c r="C131" s="32"/>
      <c r="E131" s="15"/>
      <c r="F131" s="16"/>
    </row>
    <row r="132" spans="2:6" ht="15.75">
      <c r="B132" s="32"/>
      <c r="C132" s="32"/>
      <c r="E132" s="15"/>
      <c r="F132" s="16"/>
    </row>
    <row r="133" spans="2:6" ht="15.75">
      <c r="E133" s="15"/>
      <c r="F133" s="16"/>
    </row>
    <row r="134" spans="2:6" ht="15.75">
      <c r="E134" s="15"/>
      <c r="F134" s="16"/>
    </row>
    <row r="135" spans="2:6" ht="15.75">
      <c r="E135" s="15"/>
      <c r="F135" s="16"/>
    </row>
    <row r="136" spans="2:6" ht="15.75">
      <c r="E136" s="15"/>
      <c r="F136" s="16"/>
    </row>
    <row r="137" spans="2:6" ht="15.75">
      <c r="E137" s="15"/>
      <c r="F137" s="16"/>
    </row>
    <row r="138" spans="2:6" ht="15.75">
      <c r="E138" s="15"/>
      <c r="F138" s="16"/>
    </row>
    <row r="139" spans="2:6" ht="15.75">
      <c r="E139" s="15"/>
      <c r="F139" s="16"/>
    </row>
    <row r="140" spans="2:6" ht="15.75">
      <c r="E140" s="15"/>
      <c r="F140" s="16"/>
    </row>
    <row r="141" spans="2:6" ht="15.75">
      <c r="E141" s="15"/>
      <c r="F141" s="16"/>
    </row>
    <row r="142" spans="2:6" ht="15.75">
      <c r="E142" s="15"/>
      <c r="F142" s="16"/>
    </row>
    <row r="143" spans="2:6" ht="15.75">
      <c r="E143" s="15"/>
      <c r="F143" s="16"/>
    </row>
    <row r="144" spans="2:6" ht="15.75">
      <c r="E144" s="15"/>
      <c r="F144" s="16"/>
    </row>
    <row r="145" spans="5:6" ht="15.75">
      <c r="E145" s="15"/>
      <c r="F145" s="16"/>
    </row>
    <row r="146" spans="5:6" ht="15.75">
      <c r="E146" s="15"/>
      <c r="F146" s="16"/>
    </row>
    <row r="147" spans="5:6" ht="15.75">
      <c r="E147" s="15"/>
      <c r="F147" s="16"/>
    </row>
    <row r="148" spans="5:6" ht="15.75">
      <c r="E148" s="15"/>
      <c r="F148" s="16"/>
    </row>
    <row r="149" spans="5:6" ht="15.75">
      <c r="E149" s="15"/>
      <c r="F149" s="16"/>
    </row>
    <row r="150" spans="5:6" ht="15.75">
      <c r="E150" s="15"/>
      <c r="F150" s="16"/>
    </row>
    <row r="151" spans="5:6" ht="15.75">
      <c r="E151" s="15"/>
      <c r="F151" s="16"/>
    </row>
    <row r="152" spans="5:6" ht="15.75">
      <c r="E152" s="15"/>
      <c r="F152" s="16"/>
    </row>
    <row r="153" spans="5:6" ht="15.75">
      <c r="E153" s="15"/>
      <c r="F153" s="16"/>
    </row>
    <row r="154" spans="5:6" ht="15.75">
      <c r="E154" s="15"/>
      <c r="F154" s="16"/>
    </row>
    <row r="155" spans="5:6" ht="15.75">
      <c r="E155" s="15"/>
      <c r="F155" s="16"/>
    </row>
    <row r="156" spans="5:6" ht="15.75">
      <c r="E156" s="15"/>
      <c r="F156" s="16"/>
    </row>
    <row r="157" spans="5:6" ht="15.75">
      <c r="E157" s="15"/>
      <c r="F157" s="16"/>
    </row>
    <row r="158" spans="5:6" ht="15.75">
      <c r="E158" s="15"/>
      <c r="F158" s="16"/>
    </row>
    <row r="159" spans="5:6" ht="15.75">
      <c r="E159" s="15"/>
      <c r="F159" s="16"/>
    </row>
    <row r="160" spans="5:6" ht="15.75">
      <c r="E160" s="15"/>
      <c r="F160" s="16"/>
    </row>
    <row r="161" spans="5:6" ht="15.75">
      <c r="E161" s="15"/>
      <c r="F161" s="16"/>
    </row>
    <row r="162" spans="5:6" ht="15.75">
      <c r="E162" s="15"/>
      <c r="F162" s="16"/>
    </row>
    <row r="163" spans="5:6" ht="15.75">
      <c r="E163" s="15"/>
      <c r="F163" s="16"/>
    </row>
    <row r="164" spans="5:6" ht="15.75">
      <c r="E164" s="15"/>
      <c r="F164" s="16"/>
    </row>
    <row r="165" spans="5:6" ht="15.75">
      <c r="E165" s="15"/>
      <c r="F165" s="16"/>
    </row>
    <row r="166" spans="5:6" ht="15.75">
      <c r="E166" s="15"/>
      <c r="F166" s="16"/>
    </row>
    <row r="167" spans="5:6" ht="15.75">
      <c r="E167" s="15"/>
      <c r="F167" s="16"/>
    </row>
    <row r="168" spans="5:6" ht="15.75">
      <c r="E168" s="15"/>
      <c r="F168" s="16"/>
    </row>
    <row r="169" spans="5:6" ht="15.75">
      <c r="E169" s="15"/>
      <c r="F169" s="16"/>
    </row>
    <row r="170" spans="5:6" ht="15.75">
      <c r="E170" s="15"/>
      <c r="F170" s="16"/>
    </row>
    <row r="171" spans="5:6" ht="15.75">
      <c r="E171" s="15"/>
      <c r="F171" s="16"/>
    </row>
    <row r="172" spans="5:6" ht="15.75">
      <c r="E172" s="15"/>
      <c r="F172" s="16"/>
    </row>
    <row r="173" spans="5:6" ht="15.75">
      <c r="E173" s="15"/>
      <c r="F173" s="16"/>
    </row>
    <row r="174" spans="5:6" ht="15.75">
      <c r="E174" s="15"/>
      <c r="F174" s="16"/>
    </row>
    <row r="175" spans="5:6" ht="15.75">
      <c r="E175" s="15"/>
      <c r="F175" s="16"/>
    </row>
    <row r="176" spans="5:6" ht="15.75">
      <c r="E176" s="15"/>
      <c r="F176" s="16"/>
    </row>
    <row r="177" spans="5:6" ht="15.75">
      <c r="E177" s="15"/>
      <c r="F177" s="16"/>
    </row>
    <row r="178" spans="5:6" ht="15.75">
      <c r="E178" s="15"/>
      <c r="F178" s="16"/>
    </row>
    <row r="179" spans="5:6" ht="15.75">
      <c r="E179" s="15"/>
      <c r="F179" s="16"/>
    </row>
    <row r="180" spans="5:6" ht="15.75">
      <c r="E180" s="15"/>
      <c r="F180" s="16"/>
    </row>
    <row r="181" spans="5:6" ht="15.75">
      <c r="E181" s="15"/>
      <c r="F181" s="16"/>
    </row>
    <row r="182" spans="5:6" ht="15.75">
      <c r="E182" s="15"/>
      <c r="F182" s="16"/>
    </row>
    <row r="183" spans="5:6" ht="15.75">
      <c r="E183" s="15"/>
      <c r="F183" s="16"/>
    </row>
    <row r="184" spans="5:6" ht="15.75">
      <c r="E184" s="15"/>
      <c r="F184" s="16"/>
    </row>
    <row r="185" spans="5:6" ht="15.75">
      <c r="E185" s="15"/>
      <c r="F185" s="16"/>
    </row>
    <row r="186" spans="5:6" ht="15.75">
      <c r="E186" s="15"/>
      <c r="F186" s="16"/>
    </row>
    <row r="187" spans="5:6" ht="15.75">
      <c r="E187" s="15"/>
      <c r="F187" s="16"/>
    </row>
    <row r="188" spans="5:6" ht="15.75">
      <c r="E188" s="15"/>
      <c r="F188" s="16"/>
    </row>
    <row r="189" spans="5:6" ht="15.75">
      <c r="E189" s="15"/>
      <c r="F189" s="16"/>
    </row>
    <row r="190" spans="5:6" ht="15.75">
      <c r="E190" s="15"/>
      <c r="F190" s="16"/>
    </row>
    <row r="191" spans="5:6" ht="15.75">
      <c r="E191" s="15"/>
      <c r="F191" s="16"/>
    </row>
    <row r="192" spans="5:6" ht="15.75">
      <c r="E192" s="15"/>
      <c r="F192" s="16"/>
    </row>
    <row r="193" spans="5:6" ht="15.75">
      <c r="E193" s="15"/>
      <c r="F193" s="16"/>
    </row>
    <row r="194" spans="5:6" ht="15.75">
      <c r="E194" s="15"/>
      <c r="F194" s="16"/>
    </row>
    <row r="195" spans="5:6" ht="15.75">
      <c r="E195" s="15"/>
      <c r="F195" s="16"/>
    </row>
    <row r="196" spans="5:6" ht="15.75">
      <c r="E196" s="15"/>
      <c r="F196" s="16"/>
    </row>
    <row r="197" spans="5:6" ht="15.75">
      <c r="E197" s="15"/>
      <c r="F197" s="16"/>
    </row>
    <row r="198" spans="5:6" ht="15.75">
      <c r="E198" s="15"/>
      <c r="F198" s="16"/>
    </row>
    <row r="199" spans="5:6" ht="15.75">
      <c r="E199" s="15"/>
      <c r="F199" s="16"/>
    </row>
    <row r="200" spans="5:6" ht="15.75">
      <c r="E200" s="15"/>
      <c r="F200" s="16"/>
    </row>
    <row r="201" spans="5:6" ht="15.75">
      <c r="E201" s="15"/>
      <c r="F201" s="16"/>
    </row>
    <row r="202" spans="5:6" ht="15.75">
      <c r="E202" s="15"/>
      <c r="F202" s="16"/>
    </row>
    <row r="203" spans="5:6" ht="15.75">
      <c r="E203" s="15"/>
      <c r="F203" s="16"/>
    </row>
    <row r="204" spans="5:6" ht="15.75">
      <c r="E204" s="15"/>
      <c r="F204" s="16"/>
    </row>
    <row r="205" spans="5:6" ht="15.75">
      <c r="E205" s="15"/>
      <c r="F205" s="16"/>
    </row>
    <row r="206" spans="5:6" ht="15.75">
      <c r="E206" s="15"/>
      <c r="F206" s="16"/>
    </row>
    <row r="207" spans="5:6" ht="15.75">
      <c r="E207" s="15"/>
      <c r="F207" s="16"/>
    </row>
    <row r="208" spans="5:6" ht="15.75">
      <c r="E208" s="15"/>
      <c r="F208" s="16"/>
    </row>
    <row r="209" spans="5:6" ht="15.75">
      <c r="E209" s="15"/>
      <c r="F209" s="16"/>
    </row>
    <row r="210" spans="5:6" ht="15.75">
      <c r="E210" s="15"/>
      <c r="F210" s="16"/>
    </row>
    <row r="211" spans="5:6" ht="15.75">
      <c r="E211" s="15"/>
      <c r="F211" s="16"/>
    </row>
    <row r="212" spans="5:6" ht="15.75">
      <c r="E212" s="15"/>
      <c r="F212" s="16"/>
    </row>
    <row r="213" spans="5:6" ht="15.75">
      <c r="E213" s="15"/>
      <c r="F213" s="16"/>
    </row>
    <row r="214" spans="5:6" ht="15.75">
      <c r="E214" s="15"/>
      <c r="F214" s="16"/>
    </row>
    <row r="215" spans="5:6" ht="15.75">
      <c r="E215" s="15"/>
      <c r="F215" s="16"/>
    </row>
    <row r="216" spans="5:6" ht="15.75">
      <c r="E216" s="15"/>
      <c r="F216" s="16"/>
    </row>
    <row r="217" spans="5:6" ht="15.75">
      <c r="E217" s="15"/>
      <c r="F217" s="16"/>
    </row>
    <row r="218" spans="5:6" ht="15.75">
      <c r="E218" s="15"/>
      <c r="F218" s="16"/>
    </row>
    <row r="219" spans="5:6" ht="15.75">
      <c r="E219" s="15"/>
      <c r="F219" s="16"/>
    </row>
    <row r="220" spans="5:6" ht="15.75">
      <c r="E220" s="15"/>
      <c r="F220" s="16"/>
    </row>
    <row r="221" spans="5:6" ht="15.75">
      <c r="E221" s="15"/>
      <c r="F221" s="16"/>
    </row>
    <row r="222" spans="5:6" ht="15.75">
      <c r="E222" s="15"/>
      <c r="F222" s="16"/>
    </row>
    <row r="223" spans="5:6" ht="15.75">
      <c r="E223" s="15"/>
      <c r="F223" s="16"/>
    </row>
    <row r="224" spans="5:6" ht="15.75">
      <c r="E224" s="15"/>
      <c r="F224" s="16"/>
    </row>
    <row r="225" spans="5:6" ht="15.75">
      <c r="E225" s="15"/>
      <c r="F225" s="16"/>
    </row>
    <row r="226" spans="5:6" ht="15.75">
      <c r="E226" s="15"/>
      <c r="F226" s="16"/>
    </row>
    <row r="227" spans="5:6" ht="15.75">
      <c r="E227" s="15"/>
      <c r="F227" s="16"/>
    </row>
    <row r="228" spans="5:6" ht="15.75">
      <c r="E228" s="15"/>
      <c r="F228" s="16"/>
    </row>
    <row r="229" spans="5:6" ht="15.75">
      <c r="E229" s="15"/>
      <c r="F229" s="16"/>
    </row>
    <row r="230" spans="5:6" ht="15.75">
      <c r="E230" s="15"/>
      <c r="F230" s="16"/>
    </row>
    <row r="231" spans="5:6" ht="15.75">
      <c r="E231" s="15"/>
      <c r="F231" s="16"/>
    </row>
    <row r="232" spans="5:6" ht="15.75">
      <c r="E232" s="15"/>
      <c r="F232" s="16"/>
    </row>
    <row r="233" spans="5:6" ht="15.75">
      <c r="E233" s="15"/>
      <c r="F233" s="16"/>
    </row>
    <row r="234" spans="5:6" ht="15.75">
      <c r="E234" s="15"/>
      <c r="F234" s="16"/>
    </row>
    <row r="235" spans="5:6" ht="15.75">
      <c r="E235" s="15"/>
      <c r="F235" s="16"/>
    </row>
    <row r="236" spans="5:6" ht="15.75">
      <c r="E236" s="15"/>
      <c r="F236" s="16"/>
    </row>
    <row r="237" spans="5:6" ht="15.75">
      <c r="E237" s="15"/>
      <c r="F237" s="16"/>
    </row>
    <row r="238" spans="5:6" ht="15.75">
      <c r="E238" s="15"/>
      <c r="F238" s="16"/>
    </row>
    <row r="239" spans="5:6" ht="15.75">
      <c r="E239" s="15"/>
      <c r="F239" s="16"/>
    </row>
    <row r="240" spans="5:6" ht="15.75">
      <c r="E240" s="15"/>
      <c r="F240" s="16"/>
    </row>
    <row r="241" spans="5:6" ht="15.75">
      <c r="E241" s="15"/>
      <c r="F241" s="16"/>
    </row>
    <row r="242" spans="5:6" ht="15.75">
      <c r="E242" s="15"/>
      <c r="F242" s="16"/>
    </row>
    <row r="243" spans="5:6" ht="15.75">
      <c r="E243" s="15"/>
      <c r="F243" s="16"/>
    </row>
    <row r="244" spans="5:6" ht="15.75">
      <c r="E244" s="15"/>
      <c r="F244" s="16"/>
    </row>
    <row r="245" spans="5:6" ht="15.75">
      <c r="E245" s="15"/>
      <c r="F245" s="16"/>
    </row>
    <row r="246" spans="5:6" ht="15.75">
      <c r="E246" s="15"/>
      <c r="F246" s="16"/>
    </row>
    <row r="247" spans="5:6" ht="15.75">
      <c r="E247" s="15"/>
      <c r="F247" s="16"/>
    </row>
    <row r="248" spans="5:6" ht="15.75">
      <c r="E248" s="15"/>
      <c r="F248" s="16"/>
    </row>
    <row r="249" spans="5:6" ht="15.75">
      <c r="E249" s="15"/>
      <c r="F249" s="16"/>
    </row>
    <row r="250" spans="5:6" ht="15.75">
      <c r="E250" s="15"/>
      <c r="F250" s="16"/>
    </row>
    <row r="251" spans="5:6" ht="15.75">
      <c r="E251" s="15"/>
      <c r="F251" s="16"/>
    </row>
    <row r="252" spans="5:6" ht="15.75">
      <c r="E252" s="15"/>
      <c r="F252" s="16"/>
    </row>
    <row r="253" spans="5:6" ht="15.75">
      <c r="E253" s="15"/>
      <c r="F253" s="16"/>
    </row>
    <row r="254" spans="5:6" ht="15.75">
      <c r="E254" s="15"/>
      <c r="F254" s="16"/>
    </row>
    <row r="255" spans="5:6" ht="15.75">
      <c r="E255" s="15"/>
      <c r="F255" s="16"/>
    </row>
    <row r="256" spans="5:6" ht="15.75">
      <c r="E256" s="15"/>
      <c r="F256" s="16"/>
    </row>
    <row r="257" spans="5:6" ht="15.75">
      <c r="E257" s="15"/>
      <c r="F257" s="16"/>
    </row>
    <row r="258" spans="5:6" ht="15.75">
      <c r="E258" s="15"/>
      <c r="F258" s="16"/>
    </row>
    <row r="259" spans="5:6" ht="15.75">
      <c r="E259" s="15"/>
      <c r="F259" s="16"/>
    </row>
    <row r="260" spans="5:6" ht="15.75">
      <c r="E260" s="15"/>
      <c r="F260" s="16"/>
    </row>
    <row r="261" spans="5:6" ht="15.75">
      <c r="E261" s="15"/>
      <c r="F261" s="16"/>
    </row>
    <row r="262" spans="5:6" ht="15.75">
      <c r="E262" s="15"/>
      <c r="F262" s="16"/>
    </row>
    <row r="263" spans="5:6" ht="15.75">
      <c r="E263" s="15"/>
      <c r="F263" s="16"/>
    </row>
    <row r="264" spans="5:6" ht="15.75">
      <c r="E264" s="15"/>
      <c r="F264" s="16"/>
    </row>
    <row r="265" spans="5:6" ht="15.75">
      <c r="E265" s="15"/>
      <c r="F265" s="16"/>
    </row>
    <row r="266" spans="5:6" ht="15.75">
      <c r="E266" s="15"/>
      <c r="F266" s="16"/>
    </row>
    <row r="267" spans="5:6" ht="15.75">
      <c r="E267" s="15"/>
      <c r="F267" s="16"/>
    </row>
    <row r="268" spans="5:6" ht="15.75">
      <c r="E268" s="15"/>
      <c r="F268" s="16"/>
    </row>
    <row r="269" spans="5:6" ht="15.75">
      <c r="E269" s="15"/>
      <c r="F269" s="16"/>
    </row>
    <row r="270" spans="5:6" ht="15.75">
      <c r="E270" s="15"/>
      <c r="F270" s="16"/>
    </row>
    <row r="271" spans="5:6" ht="15.75">
      <c r="E271" s="15"/>
      <c r="F271" s="16"/>
    </row>
    <row r="272" spans="5:6" ht="15.75">
      <c r="E272" s="15"/>
      <c r="F272" s="16"/>
    </row>
    <row r="273" spans="5:6" ht="15.75">
      <c r="E273" s="15"/>
      <c r="F273" s="16"/>
    </row>
    <row r="274" spans="5:6" ht="15.75">
      <c r="E274" s="15"/>
      <c r="F274" s="16"/>
    </row>
    <row r="275" spans="5:6" ht="15.75">
      <c r="E275" s="15"/>
      <c r="F275" s="16"/>
    </row>
    <row r="276" spans="5:6" ht="15.75">
      <c r="E276" s="15"/>
      <c r="F276" s="16"/>
    </row>
    <row r="277" spans="5:6" ht="15.75">
      <c r="E277" s="15"/>
      <c r="F277" s="16"/>
    </row>
    <row r="278" spans="5:6" ht="15.75">
      <c r="E278" s="15"/>
      <c r="F278" s="16"/>
    </row>
    <row r="279" spans="5:6" ht="15.75">
      <c r="E279" s="15"/>
      <c r="F279" s="16"/>
    </row>
    <row r="280" spans="5:6" ht="15.75">
      <c r="E280" s="15"/>
      <c r="F280" s="16"/>
    </row>
    <row r="281" spans="5:6" ht="15.75">
      <c r="E281" s="15"/>
      <c r="F281" s="16"/>
    </row>
    <row r="282" spans="5:6" ht="15.75">
      <c r="E282" s="15"/>
      <c r="F282" s="16"/>
    </row>
    <row r="283" spans="5:6" ht="15.75">
      <c r="E283" s="15"/>
      <c r="F283" s="16"/>
    </row>
    <row r="284" spans="5:6" ht="15.75">
      <c r="E284" s="15"/>
      <c r="F284" s="16"/>
    </row>
    <row r="285" spans="5:6" ht="15.75">
      <c r="E285" s="15"/>
      <c r="F285" s="16"/>
    </row>
    <row r="286" spans="5:6" ht="15.75">
      <c r="E286" s="15"/>
      <c r="F286" s="16"/>
    </row>
    <row r="287" spans="5:6" ht="15.75">
      <c r="E287" s="15"/>
      <c r="F287" s="16"/>
    </row>
    <row r="288" spans="5:6" ht="15.75">
      <c r="E288" s="15"/>
      <c r="F288" s="16"/>
    </row>
    <row r="289" spans="5:6" ht="15.75">
      <c r="E289" s="15"/>
      <c r="F289" s="16"/>
    </row>
    <row r="290" spans="5:6" ht="15.75">
      <c r="E290" s="15"/>
      <c r="F290" s="16"/>
    </row>
    <row r="291" spans="5:6" ht="15.75">
      <c r="E291" s="15"/>
      <c r="F291" s="16"/>
    </row>
    <row r="292" spans="5:6" ht="15.75">
      <c r="E292" s="15"/>
      <c r="F292" s="16"/>
    </row>
    <row r="293" spans="5:6" ht="15.75">
      <c r="E293" s="15"/>
      <c r="F293" s="16"/>
    </row>
    <row r="294" spans="5:6" ht="15.75">
      <c r="E294" s="15"/>
      <c r="F294" s="16"/>
    </row>
    <row r="295" spans="5:6" ht="15.75">
      <c r="E295" s="15"/>
      <c r="F295" s="16"/>
    </row>
    <row r="296" spans="5:6" ht="15.75">
      <c r="E296" s="15"/>
      <c r="F296" s="16"/>
    </row>
    <row r="297" spans="5:6" ht="15.75">
      <c r="E297" s="15"/>
      <c r="F297" s="16"/>
    </row>
    <row r="298" spans="5:6" ht="15.75">
      <c r="E298" s="15"/>
      <c r="F298" s="16"/>
    </row>
    <row r="299" spans="5:6" ht="15.75">
      <c r="E299" s="15"/>
      <c r="F299" s="16"/>
    </row>
    <row r="300" spans="5:6" ht="15.75">
      <c r="E300" s="15"/>
      <c r="F300" s="16"/>
    </row>
    <row r="301" spans="5:6" ht="15.75">
      <c r="E301" s="15"/>
      <c r="F301" s="16"/>
    </row>
    <row r="302" spans="5:6" ht="15.75">
      <c r="E302" s="15"/>
      <c r="F302" s="16"/>
    </row>
    <row r="303" spans="5:6" ht="15.75">
      <c r="E303" s="15"/>
      <c r="F303" s="16"/>
    </row>
    <row r="304" spans="5:6" ht="15.75">
      <c r="E304" s="15"/>
      <c r="F304" s="16"/>
    </row>
    <row r="305" spans="5:6" ht="15.75">
      <c r="E305" s="15"/>
      <c r="F305" s="16"/>
    </row>
    <row r="306" spans="5:6" ht="15.75">
      <c r="E306" s="15"/>
      <c r="F306" s="16"/>
    </row>
    <row r="307" spans="5:6" ht="15.75">
      <c r="E307" s="15"/>
      <c r="F307" s="16"/>
    </row>
    <row r="308" spans="5:6" ht="15.75">
      <c r="E308" s="15"/>
      <c r="F308" s="16"/>
    </row>
    <row r="309" spans="5:6" ht="15.75">
      <c r="E309" s="15"/>
      <c r="F309" s="16"/>
    </row>
    <row r="310" spans="5:6" ht="15.75">
      <c r="E310" s="15"/>
      <c r="F310" s="16"/>
    </row>
    <row r="311" spans="5:6" ht="15.75">
      <c r="E311" s="15"/>
      <c r="F311" s="16"/>
    </row>
    <row r="312" spans="5:6" ht="15.75">
      <c r="E312" s="15"/>
      <c r="F312" s="16"/>
    </row>
    <row r="313" spans="5:6" ht="15.75">
      <c r="E313" s="15"/>
      <c r="F313" s="16"/>
    </row>
    <row r="314" spans="5:6" ht="15.75">
      <c r="E314" s="15"/>
      <c r="F314" s="16"/>
    </row>
    <row r="315" spans="5:6" ht="15.75">
      <c r="E315" s="15"/>
      <c r="F315" s="16"/>
    </row>
    <row r="316" spans="5:6" ht="15.75">
      <c r="E316" s="15"/>
      <c r="F316" s="16"/>
    </row>
    <row r="317" spans="5:6" ht="15.75">
      <c r="E317" s="15"/>
      <c r="F317" s="16"/>
    </row>
    <row r="318" spans="5:6" ht="15.75">
      <c r="E318" s="15"/>
      <c r="F318" s="16"/>
    </row>
    <row r="319" spans="5:6" ht="15.75">
      <c r="E319" s="15"/>
      <c r="F319" s="16"/>
    </row>
    <row r="320" spans="5:6" ht="15.75">
      <c r="E320" s="15"/>
      <c r="F320" s="16"/>
    </row>
    <row r="321" spans="5:6" ht="15.75">
      <c r="E321" s="15"/>
      <c r="F321" s="16"/>
    </row>
    <row r="322" spans="5:6" ht="15.75">
      <c r="E322" s="15"/>
      <c r="F322" s="16"/>
    </row>
    <row r="323" spans="5:6" ht="15.75">
      <c r="E323" s="15"/>
      <c r="F323" s="16"/>
    </row>
    <row r="324" spans="5:6" ht="15.75">
      <c r="E324" s="15"/>
      <c r="F324" s="16"/>
    </row>
    <row r="325" spans="5:6" ht="15.75">
      <c r="E325" s="15"/>
      <c r="F325" s="16"/>
    </row>
    <row r="326" spans="5:6" ht="15.75">
      <c r="E326" s="15"/>
      <c r="F326" s="16"/>
    </row>
    <row r="327" spans="5:6" ht="15.75">
      <c r="E327" s="15"/>
      <c r="F327" s="16"/>
    </row>
    <row r="328" spans="5:6" ht="15.75">
      <c r="E328" s="15"/>
      <c r="F328" s="16"/>
    </row>
    <row r="329" spans="5:6" ht="15.75">
      <c r="E329" s="15"/>
      <c r="F329" s="16"/>
    </row>
    <row r="330" spans="5:6" ht="15.75">
      <c r="E330" s="15"/>
      <c r="F330" s="16"/>
    </row>
    <row r="331" spans="5:6" ht="15.75">
      <c r="E331" s="15"/>
      <c r="F331" s="16"/>
    </row>
    <row r="332" spans="5:6" ht="15.75">
      <c r="E332" s="15"/>
      <c r="F332" s="16"/>
    </row>
    <row r="333" spans="5:6" ht="15.75">
      <c r="E333" s="15"/>
      <c r="F333" s="16"/>
    </row>
    <row r="334" spans="5:6" ht="15.75">
      <c r="E334" s="15"/>
      <c r="F334" s="16"/>
    </row>
    <row r="335" spans="5:6" ht="15.75">
      <c r="E335" s="15"/>
      <c r="F335" s="16"/>
    </row>
    <row r="336" spans="5:6" ht="15.75">
      <c r="E336" s="15"/>
      <c r="F336" s="16"/>
    </row>
    <row r="337" spans="5:6" ht="15.75">
      <c r="E337" s="15"/>
      <c r="F337" s="16"/>
    </row>
    <row r="338" spans="5:6" ht="15.75">
      <c r="E338" s="15"/>
      <c r="F338" s="16"/>
    </row>
    <row r="339" spans="5:6" ht="15.75">
      <c r="E339" s="15"/>
      <c r="F339" s="16"/>
    </row>
    <row r="340" spans="5:6" ht="15.75">
      <c r="E340" s="15"/>
      <c r="F340" s="16"/>
    </row>
    <row r="341" spans="5:6" ht="15.75">
      <c r="E341" s="15"/>
      <c r="F341" s="16"/>
    </row>
    <row r="342" spans="5:6" ht="15.75">
      <c r="E342" s="15"/>
      <c r="F342" s="16"/>
    </row>
    <row r="343" spans="5:6" ht="15.75">
      <c r="E343" s="15"/>
      <c r="F343" s="16"/>
    </row>
    <row r="344" spans="5:6" ht="15.75">
      <c r="E344" s="15"/>
      <c r="F344" s="16"/>
    </row>
    <row r="345" spans="5:6" ht="15.75">
      <c r="E345" s="15"/>
      <c r="F345" s="16"/>
    </row>
    <row r="346" spans="5:6" ht="15.75">
      <c r="E346" s="15"/>
      <c r="F346" s="16"/>
    </row>
    <row r="347" spans="5:6" ht="15.75">
      <c r="E347" s="15"/>
      <c r="F347" s="16"/>
    </row>
    <row r="348" spans="5:6" ht="15.75">
      <c r="E348" s="15"/>
      <c r="F348" s="16"/>
    </row>
    <row r="349" spans="5:6" ht="15.75">
      <c r="E349" s="15"/>
      <c r="F349" s="16"/>
    </row>
    <row r="350" spans="5:6" ht="15.75">
      <c r="E350" s="15"/>
      <c r="F350" s="16"/>
    </row>
    <row r="351" spans="5:6" ht="15.75">
      <c r="E351" s="15"/>
      <c r="F351" s="16"/>
    </row>
    <row r="352" spans="5:6" ht="15.75">
      <c r="E352" s="15"/>
      <c r="F352" s="16"/>
    </row>
    <row r="353" spans="5:6" ht="15.75">
      <c r="E353" s="15"/>
      <c r="F353" s="16"/>
    </row>
    <row r="354" spans="5:6" ht="15.75">
      <c r="E354" s="15"/>
      <c r="F354" s="16"/>
    </row>
    <row r="355" spans="5:6" ht="15.75">
      <c r="E355" s="15"/>
      <c r="F355" s="16"/>
    </row>
    <row r="356" spans="5:6" ht="15.75">
      <c r="E356" s="15"/>
      <c r="F356" s="16"/>
    </row>
    <row r="357" spans="5:6" ht="15.75">
      <c r="E357" s="15"/>
      <c r="F357" s="16"/>
    </row>
    <row r="358" spans="5:6" ht="15.75">
      <c r="E358" s="15"/>
      <c r="F358" s="16"/>
    </row>
    <row r="359" spans="5:6" ht="15.75">
      <c r="E359" s="15"/>
      <c r="F359" s="16"/>
    </row>
    <row r="360" spans="5:6" ht="15.75">
      <c r="E360" s="15"/>
      <c r="F360" s="16"/>
    </row>
    <row r="361" spans="5:6" ht="15.75">
      <c r="E361" s="15"/>
      <c r="F361" s="16"/>
    </row>
    <row r="362" spans="5:6" ht="15.75">
      <c r="E362" s="15"/>
      <c r="F362" s="16"/>
    </row>
    <row r="363" spans="5:6" ht="15.75">
      <c r="E363" s="15"/>
      <c r="F363" s="16"/>
    </row>
    <row r="364" spans="5:6" ht="15.75">
      <c r="E364" s="15"/>
      <c r="F364" s="16"/>
    </row>
    <row r="365" spans="5:6" ht="15.75">
      <c r="E365" s="15"/>
      <c r="F365" s="16"/>
    </row>
    <row r="366" spans="5:6" ht="15.75">
      <c r="E366" s="15"/>
      <c r="F366" s="16"/>
    </row>
    <row r="367" spans="5:6" ht="15.75">
      <c r="E367" s="15"/>
      <c r="F367" s="16"/>
    </row>
    <row r="368" spans="5:6" ht="15.75">
      <c r="E368" s="15"/>
      <c r="F368" s="16"/>
    </row>
    <row r="369" spans="5:6" ht="15.75">
      <c r="E369" s="15"/>
      <c r="F369" s="16"/>
    </row>
    <row r="370" spans="5:6" ht="15.75">
      <c r="E370" s="15"/>
      <c r="F370" s="16"/>
    </row>
    <row r="371" spans="5:6" ht="15.75">
      <c r="E371" s="15"/>
      <c r="F371" s="16"/>
    </row>
    <row r="372" spans="5:6" ht="15.75">
      <c r="E372" s="15"/>
      <c r="F372" s="16"/>
    </row>
    <row r="373" spans="5:6" ht="15.75">
      <c r="E373" s="15"/>
      <c r="F373" s="16"/>
    </row>
    <row r="374" spans="5:6" ht="15.75">
      <c r="E374" s="15"/>
      <c r="F374" s="16"/>
    </row>
    <row r="375" spans="5:6" ht="15.75">
      <c r="E375" s="15"/>
      <c r="F375" s="16"/>
    </row>
    <row r="376" spans="5:6" ht="15.75">
      <c r="E376" s="15"/>
      <c r="F376" s="16"/>
    </row>
    <row r="377" spans="5:6" ht="15.75">
      <c r="E377" s="15"/>
      <c r="F377" s="16"/>
    </row>
    <row r="378" spans="5:6" ht="15.75">
      <c r="E378" s="15"/>
      <c r="F378" s="16"/>
    </row>
    <row r="379" spans="5:6" ht="15.75">
      <c r="E379" s="15"/>
      <c r="F379" s="16"/>
    </row>
    <row r="380" spans="5:6" ht="15.75">
      <c r="E380" s="15"/>
      <c r="F380" s="16"/>
    </row>
    <row r="381" spans="5:6" ht="15.75">
      <c r="E381" s="15"/>
      <c r="F381" s="16"/>
    </row>
    <row r="382" spans="5:6" ht="15.75">
      <c r="E382" s="15"/>
      <c r="F382" s="16"/>
    </row>
    <row r="383" spans="5:6" ht="15.75">
      <c r="E383" s="15"/>
      <c r="F383" s="16"/>
    </row>
    <row r="384" spans="5:6" ht="15.75">
      <c r="E384" s="15"/>
      <c r="F384" s="16"/>
    </row>
    <row r="385" spans="5:6" ht="15.75">
      <c r="E385" s="15"/>
      <c r="F385" s="16"/>
    </row>
    <row r="386" spans="5:6" ht="15.75">
      <c r="E386" s="15"/>
      <c r="F386" s="16"/>
    </row>
    <row r="387" spans="5:6" ht="15.75">
      <c r="E387" s="15"/>
      <c r="F387" s="16"/>
    </row>
    <row r="388" spans="5:6" ht="15.75">
      <c r="E388" s="15"/>
      <c r="F388" s="16"/>
    </row>
    <row r="389" spans="5:6" ht="15.75">
      <c r="E389" s="15"/>
      <c r="F389" s="16"/>
    </row>
    <row r="390" spans="5:6" ht="15.75">
      <c r="E390" s="15"/>
      <c r="F390" s="16"/>
    </row>
    <row r="391" spans="5:6" ht="15.75">
      <c r="E391" s="15"/>
      <c r="F391" s="16"/>
    </row>
    <row r="392" spans="5:6" ht="15.75">
      <c r="E392" s="15"/>
      <c r="F392" s="16"/>
    </row>
    <row r="393" spans="5:6" ht="15.75">
      <c r="E393" s="15"/>
      <c r="F393" s="16"/>
    </row>
    <row r="394" spans="5:6" ht="15.75">
      <c r="E394" s="15"/>
      <c r="F394" s="16"/>
    </row>
    <row r="395" spans="5:6" ht="15.75">
      <c r="E395" s="15"/>
      <c r="F395" s="16"/>
    </row>
    <row r="396" spans="5:6" ht="15.75">
      <c r="E396" s="15"/>
      <c r="F396" s="16"/>
    </row>
    <row r="397" spans="5:6" ht="15.75">
      <c r="E397" s="15"/>
      <c r="F397" s="16"/>
    </row>
    <row r="398" spans="5:6" ht="15.75">
      <c r="E398" s="15"/>
      <c r="F398" s="16"/>
    </row>
    <row r="399" spans="5:6" ht="15.75">
      <c r="E399" s="15"/>
      <c r="F399" s="16"/>
    </row>
    <row r="400" spans="5:6" ht="15.75">
      <c r="E400" s="15"/>
      <c r="F400" s="16"/>
    </row>
    <row r="401" spans="5:6" ht="15.75">
      <c r="E401" s="15"/>
      <c r="F401" s="16"/>
    </row>
    <row r="402" spans="5:6" ht="15.75">
      <c r="E402" s="15"/>
      <c r="F402" s="16"/>
    </row>
    <row r="403" spans="5:6" ht="15.75">
      <c r="E403" s="15"/>
      <c r="F403" s="16"/>
    </row>
    <row r="404" spans="5:6" ht="15.75">
      <c r="E404" s="15"/>
      <c r="F404" s="16"/>
    </row>
    <row r="405" spans="5:6" ht="15.75">
      <c r="E405" s="15"/>
      <c r="F405" s="16"/>
    </row>
    <row r="406" spans="5:6" ht="15.75">
      <c r="E406" s="15"/>
      <c r="F406" s="16"/>
    </row>
    <row r="407" spans="5:6" ht="15.75">
      <c r="E407" s="15"/>
      <c r="F407" s="16"/>
    </row>
    <row r="408" spans="5:6" ht="15.75">
      <c r="E408" s="15"/>
      <c r="F408" s="16"/>
    </row>
    <row r="409" spans="5:6" ht="15.75">
      <c r="E409" s="15"/>
      <c r="F409" s="16"/>
    </row>
    <row r="410" spans="5:6" ht="15.75">
      <c r="E410" s="15"/>
      <c r="F410" s="16"/>
    </row>
    <row r="411" spans="5:6" ht="15.75">
      <c r="E411" s="15"/>
      <c r="F411" s="16"/>
    </row>
    <row r="412" spans="5:6" ht="15.75">
      <c r="E412" s="15"/>
      <c r="F412" s="16"/>
    </row>
    <row r="413" spans="5:6" ht="15.75">
      <c r="E413" s="15"/>
      <c r="F413" s="16"/>
    </row>
    <row r="414" spans="5:6" ht="15.75">
      <c r="E414" s="15"/>
      <c r="F414" s="16"/>
    </row>
    <row r="415" spans="5:6" ht="15.75">
      <c r="E415" s="15"/>
      <c r="F415" s="16"/>
    </row>
    <row r="416" spans="5:6" ht="15.75">
      <c r="E416" s="15"/>
      <c r="F416" s="16"/>
    </row>
    <row r="417" spans="5:6" ht="15.75">
      <c r="E417" s="15"/>
      <c r="F417" s="16"/>
    </row>
    <row r="418" spans="5:6" ht="15.75">
      <c r="E418" s="15"/>
      <c r="F418" s="16"/>
    </row>
    <row r="419" spans="5:6" ht="15.75">
      <c r="E419" s="15"/>
      <c r="F419" s="16"/>
    </row>
    <row r="420" spans="5:6" ht="15.75">
      <c r="E420" s="15"/>
      <c r="F420" s="16"/>
    </row>
    <row r="421" spans="5:6" ht="15.75">
      <c r="E421" s="15"/>
      <c r="F421" s="16"/>
    </row>
    <row r="422" spans="5:6" ht="15.75">
      <c r="E422" s="15"/>
      <c r="F422" s="16"/>
    </row>
    <row r="423" spans="5:6" ht="15.75">
      <c r="E423" s="15"/>
      <c r="F423" s="16"/>
    </row>
    <row r="424" spans="5:6" ht="15.75">
      <c r="E424" s="15"/>
      <c r="F424" s="16"/>
    </row>
    <row r="425" spans="5:6" ht="15.75">
      <c r="E425" s="15"/>
      <c r="F425" s="16"/>
    </row>
    <row r="426" spans="5:6" ht="15.75">
      <c r="E426" s="15"/>
      <c r="F426" s="16"/>
    </row>
    <row r="427" spans="5:6" ht="15.75">
      <c r="E427" s="15"/>
      <c r="F427" s="16"/>
    </row>
    <row r="428" spans="5:6" ht="15.75">
      <c r="E428" s="15"/>
      <c r="F428" s="16"/>
    </row>
    <row r="429" spans="5:6" ht="15.75">
      <c r="E429" s="15"/>
      <c r="F429" s="16"/>
    </row>
    <row r="430" spans="5:6" ht="15.75">
      <c r="E430" s="15"/>
      <c r="F430" s="16"/>
    </row>
    <row r="431" spans="5:6" ht="15.75">
      <c r="E431" s="15"/>
      <c r="F431" s="16"/>
    </row>
    <row r="432" spans="5:6" ht="15.75">
      <c r="E432" s="15"/>
      <c r="F432" s="16"/>
    </row>
    <row r="433" spans="5:6" ht="15.75">
      <c r="E433" s="15"/>
      <c r="F433" s="16"/>
    </row>
    <row r="434" spans="5:6" ht="15.75">
      <c r="E434" s="15"/>
      <c r="F434" s="16"/>
    </row>
    <row r="435" spans="5:6" ht="15.75">
      <c r="E435" s="15"/>
      <c r="F435" s="16"/>
    </row>
    <row r="436" spans="5:6" ht="15.75">
      <c r="E436" s="15"/>
      <c r="F436" s="16"/>
    </row>
    <row r="437" spans="5:6" ht="15.75">
      <c r="E437" s="15"/>
      <c r="F437" s="16"/>
    </row>
    <row r="438" spans="5:6" ht="15.75">
      <c r="E438" s="15"/>
      <c r="F438" s="16"/>
    </row>
    <row r="439" spans="5:6" ht="15.75">
      <c r="E439" s="15"/>
      <c r="F439" s="16"/>
    </row>
    <row r="440" spans="5:6" ht="15.75">
      <c r="E440" s="15"/>
      <c r="F440" s="16"/>
    </row>
    <row r="441" spans="5:6" ht="15.75">
      <c r="E441" s="15"/>
      <c r="F441" s="16"/>
    </row>
    <row r="442" spans="5:6" ht="15.75">
      <c r="E442" s="15"/>
      <c r="F442" s="16"/>
    </row>
    <row r="443" spans="5:6" ht="15.75">
      <c r="E443" s="15"/>
      <c r="F443" s="16"/>
    </row>
    <row r="444" spans="5:6" ht="15.75">
      <c r="E444" s="15"/>
      <c r="F444" s="16"/>
    </row>
    <row r="445" spans="5:6" ht="15.75">
      <c r="E445" s="15"/>
      <c r="F445" s="16"/>
    </row>
    <row r="446" spans="5:6" ht="15.75">
      <c r="E446" s="15"/>
      <c r="F446" s="16"/>
    </row>
    <row r="447" spans="5:6" ht="15.75">
      <c r="E447" s="15"/>
      <c r="F447" s="16"/>
    </row>
    <row r="448" spans="5:6" ht="15.75">
      <c r="E448" s="15"/>
      <c r="F448" s="16"/>
    </row>
    <row r="449" spans="5:6" ht="15.75">
      <c r="E449" s="15"/>
      <c r="F449" s="16"/>
    </row>
    <row r="450" spans="5:6" ht="15.75">
      <c r="E450" s="15"/>
      <c r="F450" s="16"/>
    </row>
    <row r="451" spans="5:6" ht="15.75">
      <c r="E451" s="15"/>
      <c r="F451" s="16"/>
    </row>
    <row r="452" spans="5:6" ht="15.75">
      <c r="E452" s="15"/>
      <c r="F452" s="16"/>
    </row>
    <row r="453" spans="5:6" ht="15.75">
      <c r="E453" s="15"/>
      <c r="F453" s="16"/>
    </row>
    <row r="454" spans="5:6" ht="15.75">
      <c r="E454" s="15"/>
      <c r="F454" s="16"/>
    </row>
    <row r="455" spans="5:6" ht="15.75">
      <c r="E455" s="15"/>
      <c r="F455" s="16"/>
    </row>
    <row r="456" spans="5:6" ht="15.75">
      <c r="E456" s="15"/>
      <c r="F456" s="16"/>
    </row>
    <row r="457" spans="5:6" ht="15.75">
      <c r="E457" s="15"/>
      <c r="F457" s="16"/>
    </row>
    <row r="458" spans="5:6" ht="15.75">
      <c r="E458" s="15"/>
      <c r="F458" s="16"/>
    </row>
    <row r="459" spans="5:6" ht="15.75">
      <c r="E459" s="15"/>
      <c r="F459" s="16"/>
    </row>
    <row r="460" spans="5:6" ht="15.75">
      <c r="E460" s="15"/>
      <c r="F460" s="16"/>
    </row>
    <row r="461" spans="5:6" ht="15.75">
      <c r="E461" s="15"/>
      <c r="F461" s="16"/>
    </row>
    <row r="462" spans="5:6" ht="15.75">
      <c r="E462" s="15"/>
      <c r="F462" s="16"/>
    </row>
    <row r="463" spans="5:6" ht="15.75">
      <c r="E463" s="15"/>
      <c r="F463" s="16"/>
    </row>
    <row r="464" spans="5:6" ht="15.75">
      <c r="E464" s="15"/>
      <c r="F464" s="16"/>
    </row>
    <row r="465" spans="5:6" ht="15.75">
      <c r="E465" s="15"/>
      <c r="F465" s="16"/>
    </row>
    <row r="466" spans="5:6" ht="15.75">
      <c r="E466" s="15"/>
      <c r="F466" s="16"/>
    </row>
    <row r="467" spans="5:6" ht="15.75">
      <c r="E467" s="15"/>
      <c r="F467" s="16"/>
    </row>
    <row r="468" spans="5:6" ht="15.75">
      <c r="E468" s="15"/>
      <c r="F468" s="16"/>
    </row>
    <row r="469" spans="5:6" ht="15.75">
      <c r="E469" s="15"/>
      <c r="F469" s="16"/>
    </row>
    <row r="470" spans="5:6" ht="15.75">
      <c r="E470" s="15"/>
      <c r="F470" s="16"/>
    </row>
    <row r="471" spans="5:6" ht="15.75">
      <c r="E471" s="15"/>
      <c r="F471" s="16"/>
    </row>
    <row r="472" spans="5:6" ht="15.75">
      <c r="E472" s="15"/>
      <c r="F472" s="16"/>
    </row>
    <row r="473" spans="5:6" ht="15.75">
      <c r="E473" s="15"/>
      <c r="F473" s="16"/>
    </row>
    <row r="474" spans="5:6" ht="15.75">
      <c r="E474" s="15"/>
      <c r="F474" s="16"/>
    </row>
    <row r="475" spans="5:6" ht="15.75">
      <c r="E475" s="15"/>
      <c r="F475" s="16"/>
    </row>
    <row r="476" spans="5:6" ht="15.75">
      <c r="E476" s="15"/>
      <c r="F476" s="16"/>
    </row>
    <row r="477" spans="5:6" ht="15.75">
      <c r="E477" s="15"/>
      <c r="F477" s="16"/>
    </row>
    <row r="478" spans="5:6" ht="15.75">
      <c r="E478" s="15"/>
      <c r="F478" s="16"/>
    </row>
    <row r="479" spans="5:6" ht="15.75">
      <c r="E479" s="15"/>
      <c r="F479" s="16"/>
    </row>
    <row r="480" spans="5:6" ht="15.75">
      <c r="E480" s="15"/>
      <c r="F480" s="16"/>
    </row>
    <row r="481" spans="5:6" ht="15.75">
      <c r="E481" s="15"/>
      <c r="F481" s="16"/>
    </row>
    <row r="482" spans="5:6" ht="15.75">
      <c r="E482" s="15"/>
      <c r="F482" s="16"/>
    </row>
    <row r="483" spans="5:6" ht="15.75">
      <c r="E483" s="15"/>
      <c r="F483" s="16"/>
    </row>
    <row r="484" spans="5:6" ht="15.75">
      <c r="E484" s="15"/>
      <c r="F484" s="16"/>
    </row>
    <row r="485" spans="5:6" ht="15.75">
      <c r="E485" s="15"/>
      <c r="F485" s="16"/>
    </row>
    <row r="486" spans="5:6" ht="15.75">
      <c r="E486" s="15"/>
      <c r="F486" s="16"/>
    </row>
    <row r="487" spans="5:6" ht="15.75">
      <c r="E487" s="15"/>
      <c r="F487" s="16"/>
    </row>
    <row r="488" spans="5:6" ht="15.75">
      <c r="E488" s="15"/>
      <c r="F488" s="16"/>
    </row>
    <row r="489" spans="5:6" ht="15.75">
      <c r="E489" s="15"/>
      <c r="F489" s="16"/>
    </row>
    <row r="490" spans="5:6" ht="15.75">
      <c r="E490" s="15"/>
      <c r="F490" s="16"/>
    </row>
    <row r="491" spans="5:6" ht="15.75">
      <c r="E491" s="15"/>
      <c r="F491" s="16"/>
    </row>
    <row r="492" spans="5:6" ht="15.75">
      <c r="E492" s="15"/>
      <c r="F492" s="16"/>
    </row>
    <row r="493" spans="5:6" ht="15.75">
      <c r="E493" s="15"/>
      <c r="F493" s="16"/>
    </row>
    <row r="494" spans="5:6" ht="15.75">
      <c r="E494" s="15"/>
      <c r="F494" s="16"/>
    </row>
    <row r="495" spans="5:6" ht="15.75">
      <c r="E495" s="15"/>
      <c r="F495" s="16"/>
    </row>
    <row r="496" spans="5:6" ht="15.75">
      <c r="E496" s="15"/>
      <c r="F496" s="16"/>
    </row>
    <row r="497" spans="5:6" ht="15.75">
      <c r="E497" s="15"/>
      <c r="F497" s="16"/>
    </row>
    <row r="498" spans="5:6" ht="15.75">
      <c r="E498" s="15"/>
      <c r="F498" s="16"/>
    </row>
    <row r="499" spans="5:6" ht="15.75">
      <c r="E499" s="15"/>
      <c r="F499" s="16"/>
    </row>
    <row r="500" spans="5:6" ht="15.75">
      <c r="E500" s="15"/>
      <c r="F500" s="16"/>
    </row>
    <row r="501" spans="5:6" ht="15.75">
      <c r="E501" s="15"/>
      <c r="F501" s="16"/>
    </row>
    <row r="502" spans="5:6" ht="15.75">
      <c r="E502" s="15"/>
      <c r="F502" s="16"/>
    </row>
    <row r="503" spans="5:6" ht="15.75">
      <c r="E503" s="15"/>
      <c r="F503" s="16"/>
    </row>
    <row r="504" spans="5:6" ht="15.75">
      <c r="E504" s="15"/>
      <c r="F504" s="16"/>
    </row>
    <row r="505" spans="5:6" ht="15.75">
      <c r="E505" s="15"/>
      <c r="F505" s="16"/>
    </row>
    <row r="506" spans="5:6" ht="15.75">
      <c r="E506" s="15"/>
      <c r="F506" s="16"/>
    </row>
    <row r="507" spans="5:6" ht="15.75">
      <c r="E507" s="15"/>
      <c r="F507" s="16"/>
    </row>
    <row r="508" spans="5:6" ht="15.75">
      <c r="E508" s="15"/>
      <c r="F508" s="16"/>
    </row>
    <row r="509" spans="5:6" ht="15.75">
      <c r="E509" s="15"/>
      <c r="F509" s="16"/>
    </row>
    <row r="510" spans="5:6" ht="15.75">
      <c r="E510" s="15"/>
      <c r="F510" s="16"/>
    </row>
    <row r="511" spans="5:6" ht="15.75">
      <c r="E511" s="15"/>
      <c r="F511" s="16"/>
    </row>
    <row r="512" spans="5:6" ht="15.75">
      <c r="E512" s="15"/>
      <c r="F512" s="16"/>
    </row>
    <row r="513" spans="5:6" ht="15.75">
      <c r="E513" s="15"/>
      <c r="F513" s="16"/>
    </row>
    <row r="514" spans="5:6" ht="15.75">
      <c r="E514" s="15"/>
      <c r="F514" s="16"/>
    </row>
    <row r="515" spans="5:6" ht="15.75">
      <c r="E515" s="15"/>
      <c r="F515" s="16"/>
    </row>
    <row r="516" spans="5:6" ht="15.75">
      <c r="E516" s="15"/>
      <c r="F516" s="16"/>
    </row>
    <row r="517" spans="5:6" ht="15.75">
      <c r="E517" s="15"/>
      <c r="F517" s="16"/>
    </row>
    <row r="518" spans="5:6" ht="15.75">
      <c r="E518" s="15"/>
      <c r="F518" s="16"/>
    </row>
    <row r="519" spans="5:6" ht="15.75">
      <c r="E519" s="15"/>
      <c r="F519" s="16"/>
    </row>
    <row r="520" spans="5:6" ht="15.75">
      <c r="E520" s="15"/>
      <c r="F520" s="16"/>
    </row>
    <row r="521" spans="5:6" ht="15.75">
      <c r="E521" s="15"/>
      <c r="F521" s="16"/>
    </row>
    <row r="522" spans="5:6" ht="15.75">
      <c r="E522" s="15"/>
      <c r="F522" s="16"/>
    </row>
    <row r="523" spans="5:6" ht="15.75">
      <c r="E523" s="15"/>
      <c r="F523" s="16"/>
    </row>
    <row r="524" spans="5:6" ht="15.75">
      <c r="E524" s="15"/>
      <c r="F524" s="16"/>
    </row>
    <row r="525" spans="5:6" ht="15.75">
      <c r="E525" s="15"/>
      <c r="F525" s="16"/>
    </row>
    <row r="526" spans="5:6" ht="15.75">
      <c r="E526" s="15"/>
      <c r="F526" s="16"/>
    </row>
    <row r="527" spans="5:6" ht="15.75">
      <c r="E527" s="15"/>
      <c r="F527" s="16"/>
    </row>
    <row r="528" spans="5:6" ht="15.75">
      <c r="E528" s="15"/>
      <c r="F528" s="16"/>
    </row>
    <row r="529" spans="5:6" ht="15.75">
      <c r="E529" s="15"/>
      <c r="F529" s="16"/>
    </row>
    <row r="530" spans="5:6" ht="15.75">
      <c r="E530" s="15"/>
      <c r="F530" s="16"/>
    </row>
    <row r="531" spans="5:6" ht="15.75">
      <c r="E531" s="15"/>
      <c r="F531" s="16"/>
    </row>
    <row r="532" spans="5:6" ht="15.75">
      <c r="E532" s="15"/>
      <c r="F532" s="16"/>
    </row>
    <row r="533" spans="5:6" ht="15.75">
      <c r="E533" s="15"/>
      <c r="F533" s="16"/>
    </row>
    <row r="534" spans="5:6" ht="15.75">
      <c r="E534" s="15"/>
      <c r="F534" s="16"/>
    </row>
    <row r="535" spans="5:6" ht="15.75">
      <c r="E535" s="15"/>
      <c r="F535" s="16"/>
    </row>
    <row r="536" spans="5:6" ht="15.75">
      <c r="E536" s="15"/>
      <c r="F536" s="16"/>
    </row>
    <row r="537" spans="5:6" ht="15.75">
      <c r="E537" s="15"/>
      <c r="F537" s="16"/>
    </row>
    <row r="538" spans="5:6" ht="15.75">
      <c r="E538" s="15"/>
      <c r="F538" s="16"/>
    </row>
    <row r="539" spans="5:6" ht="15.75">
      <c r="E539" s="15"/>
      <c r="F539" s="16"/>
    </row>
    <row r="540" spans="5:6" ht="15.75">
      <c r="E540" s="15"/>
      <c r="F540" s="16"/>
    </row>
    <row r="541" spans="5:6" ht="15.75">
      <c r="E541" s="15"/>
      <c r="F541" s="16"/>
    </row>
    <row r="542" spans="5:6" ht="15.75">
      <c r="E542" s="15"/>
      <c r="F542" s="16"/>
    </row>
    <row r="543" spans="5:6" ht="15.75">
      <c r="E543" s="15"/>
      <c r="F543" s="16"/>
    </row>
    <row r="544" spans="5:6" ht="15.75">
      <c r="E544" s="15"/>
      <c r="F544" s="16"/>
    </row>
    <row r="545" spans="5:6" ht="15.75">
      <c r="E545" s="15"/>
      <c r="F545" s="16"/>
    </row>
    <row r="546" spans="5:6" ht="15.75">
      <c r="E546" s="15"/>
      <c r="F546" s="16"/>
    </row>
    <row r="547" spans="5:6" ht="15.75">
      <c r="E547" s="15"/>
      <c r="F547" s="16"/>
    </row>
    <row r="548" spans="5:6" ht="15.75">
      <c r="E548" s="15"/>
      <c r="F548" s="16"/>
    </row>
    <row r="549" spans="5:6" ht="15.75">
      <c r="E549" s="15"/>
      <c r="F549" s="16"/>
    </row>
    <row r="550" spans="5:6" ht="15.75">
      <c r="E550" s="15"/>
      <c r="F550" s="16"/>
    </row>
    <row r="551" spans="5:6" ht="15.75">
      <c r="E551" s="15"/>
      <c r="F551" s="16"/>
    </row>
    <row r="552" spans="5:6" ht="15.75">
      <c r="E552" s="15"/>
      <c r="F552" s="16"/>
    </row>
    <row r="553" spans="5:6" ht="15.75">
      <c r="E553" s="15"/>
      <c r="F553" s="16"/>
    </row>
    <row r="554" spans="5:6" ht="15.75">
      <c r="E554" s="15"/>
      <c r="F554" s="16"/>
    </row>
    <row r="555" spans="5:6" ht="15.75">
      <c r="E555" s="15"/>
      <c r="F555" s="16"/>
    </row>
    <row r="556" spans="5:6" ht="15.75">
      <c r="E556" s="15"/>
      <c r="F556" s="16"/>
    </row>
    <row r="557" spans="5:6" ht="15.75">
      <c r="E557" s="15"/>
      <c r="F557" s="16"/>
    </row>
    <row r="558" spans="5:6" ht="15.75">
      <c r="E558" s="15"/>
      <c r="F558" s="16"/>
    </row>
    <row r="559" spans="5:6" ht="15.75">
      <c r="E559" s="15"/>
      <c r="F559" s="16"/>
    </row>
    <row r="560" spans="5:6" ht="15.75">
      <c r="E560" s="15"/>
      <c r="F560" s="16"/>
    </row>
    <row r="561" spans="5:6" ht="15.75">
      <c r="E561" s="15"/>
      <c r="F561" s="16"/>
    </row>
    <row r="562" spans="5:6" ht="15.75">
      <c r="E562" s="15"/>
      <c r="F562" s="16"/>
    </row>
    <row r="563" spans="5:6" ht="15.75">
      <c r="E563" s="15"/>
      <c r="F563" s="16"/>
    </row>
    <row r="564" spans="5:6" ht="15.75">
      <c r="E564" s="15"/>
      <c r="F564" s="16"/>
    </row>
    <row r="565" spans="5:6" ht="15.75">
      <c r="E565" s="15"/>
      <c r="F565" s="16"/>
    </row>
    <row r="566" spans="5:6" ht="15.75">
      <c r="E566" s="15"/>
      <c r="F566" s="16"/>
    </row>
    <row r="567" spans="5:6" ht="15.75">
      <c r="E567" s="15"/>
      <c r="F567" s="16"/>
    </row>
    <row r="568" spans="5:6" ht="15.75">
      <c r="E568" s="15"/>
      <c r="F568" s="16"/>
    </row>
    <row r="569" spans="5:6" ht="15.75">
      <c r="E569" s="15"/>
      <c r="F569" s="16"/>
    </row>
    <row r="570" spans="5:6" ht="15.75">
      <c r="E570" s="15"/>
      <c r="F570" s="16"/>
    </row>
    <row r="571" spans="5:6" ht="15.75">
      <c r="E571" s="15"/>
      <c r="F571" s="16"/>
    </row>
    <row r="572" spans="5:6" ht="15.75">
      <c r="E572" s="15"/>
      <c r="F572" s="16"/>
    </row>
    <row r="573" spans="5:6" ht="15.75">
      <c r="E573" s="15"/>
      <c r="F573" s="16"/>
    </row>
    <row r="574" spans="5:6" ht="15.75">
      <c r="E574" s="15"/>
      <c r="F574" s="16"/>
    </row>
    <row r="575" spans="5:6" ht="15.75">
      <c r="E575" s="15"/>
      <c r="F575" s="16"/>
    </row>
    <row r="576" spans="5:6" ht="15.75">
      <c r="E576" s="15"/>
      <c r="F576" s="16"/>
    </row>
    <row r="577" spans="5:6" ht="15.75">
      <c r="E577" s="15"/>
      <c r="F577" s="16"/>
    </row>
    <row r="578" spans="5:6" ht="15.75">
      <c r="E578" s="15"/>
      <c r="F578" s="16"/>
    </row>
    <row r="579" spans="5:6" ht="15.75">
      <c r="E579" s="15"/>
      <c r="F579" s="16"/>
    </row>
    <row r="580" spans="5:6" ht="15.75">
      <c r="E580" s="15"/>
      <c r="F580" s="16"/>
    </row>
    <row r="581" spans="5:6" ht="15.75">
      <c r="E581" s="15"/>
      <c r="F581" s="16"/>
    </row>
    <row r="582" spans="5:6" ht="15.75">
      <c r="E582" s="15"/>
      <c r="F582" s="16"/>
    </row>
    <row r="583" spans="5:6" ht="15.75">
      <c r="E583" s="15"/>
      <c r="F583" s="16"/>
    </row>
    <row r="584" spans="5:6" ht="15.75">
      <c r="E584" s="15"/>
      <c r="F584" s="16"/>
    </row>
    <row r="585" spans="5:6" ht="15.75">
      <c r="E585" s="15"/>
      <c r="F585" s="16"/>
    </row>
    <row r="586" spans="5:6" ht="15.75">
      <c r="E586" s="15"/>
      <c r="F586" s="16"/>
    </row>
    <row r="587" spans="5:6" ht="15.75">
      <c r="E587" s="15"/>
      <c r="F587" s="16"/>
    </row>
    <row r="588" spans="5:6" ht="15.75">
      <c r="E588" s="15"/>
      <c r="F588" s="16"/>
    </row>
    <row r="589" spans="5:6" ht="15.75">
      <c r="E589" s="15"/>
      <c r="F589" s="16"/>
    </row>
    <row r="590" spans="5:6" ht="15.75">
      <c r="E590" s="15"/>
      <c r="F590" s="16"/>
    </row>
    <row r="591" spans="5:6" ht="15.75">
      <c r="E591" s="15"/>
      <c r="F591" s="16"/>
    </row>
    <row r="592" spans="5:6" ht="15.75">
      <c r="E592" s="15"/>
      <c r="F592" s="16"/>
    </row>
    <row r="593" spans="5:6" ht="15.75">
      <c r="E593" s="15"/>
      <c r="F593" s="16"/>
    </row>
    <row r="594" spans="5:6" ht="15.75">
      <c r="E594" s="15"/>
      <c r="F594" s="16"/>
    </row>
    <row r="595" spans="5:6" ht="15.75">
      <c r="E595" s="15"/>
      <c r="F595" s="16"/>
    </row>
    <row r="596" spans="5:6" ht="15.75">
      <c r="E596" s="15"/>
      <c r="F596" s="16"/>
    </row>
    <row r="597" spans="5:6" ht="15.75">
      <c r="E597" s="15"/>
      <c r="F597" s="16"/>
    </row>
    <row r="598" spans="5:6" ht="15.75">
      <c r="E598" s="15"/>
      <c r="F598" s="16"/>
    </row>
    <row r="599" spans="5:6" ht="15.75">
      <c r="E599" s="15"/>
      <c r="F599" s="16"/>
    </row>
    <row r="600" spans="5:6" ht="15.75">
      <c r="E600" s="15"/>
      <c r="F600" s="16"/>
    </row>
    <row r="601" spans="5:6" ht="15.75">
      <c r="E601" s="15"/>
      <c r="F601" s="16"/>
    </row>
    <row r="602" spans="5:6" ht="15.75">
      <c r="E602" s="15"/>
      <c r="F602" s="16"/>
    </row>
    <row r="603" spans="5:6" ht="15.75">
      <c r="E603" s="15"/>
      <c r="F603" s="16"/>
    </row>
    <row r="604" spans="5:6" ht="15.75">
      <c r="E604" s="15"/>
      <c r="F604" s="16"/>
    </row>
    <row r="605" spans="5:6" ht="15.75">
      <c r="E605" s="15"/>
      <c r="F605" s="16"/>
    </row>
    <row r="606" spans="5:6" ht="15.75">
      <c r="E606" s="15"/>
      <c r="F606" s="16"/>
    </row>
    <row r="607" spans="5:6" ht="15.75">
      <c r="E607" s="15"/>
      <c r="F607" s="16"/>
    </row>
    <row r="608" spans="5:6" ht="15.75">
      <c r="E608" s="15"/>
      <c r="F608" s="16"/>
    </row>
    <row r="609" spans="5:6" ht="15.75">
      <c r="E609" s="15"/>
      <c r="F609" s="16"/>
    </row>
    <row r="610" spans="5:6" ht="15.75">
      <c r="E610" s="15"/>
      <c r="F610" s="16"/>
    </row>
    <row r="611" spans="5:6" ht="15.75">
      <c r="E611" s="15"/>
      <c r="F611" s="16"/>
    </row>
    <row r="612" spans="5:6" ht="15.75">
      <c r="E612" s="15"/>
      <c r="F612" s="16"/>
    </row>
    <row r="613" spans="5:6" ht="15.75">
      <c r="E613" s="15"/>
      <c r="F613" s="16"/>
    </row>
    <row r="614" spans="5:6" ht="15.75">
      <c r="E614" s="15"/>
      <c r="F614" s="16"/>
    </row>
    <row r="615" spans="5:6" ht="15.75">
      <c r="E615" s="15"/>
      <c r="F615" s="16"/>
    </row>
    <row r="616" spans="5:6" ht="15.75">
      <c r="E616" s="15"/>
      <c r="F616" s="16"/>
    </row>
    <row r="617" spans="5:6" ht="15.75">
      <c r="E617" s="15"/>
      <c r="F617" s="16"/>
    </row>
    <row r="618" spans="5:6" ht="15.75">
      <c r="E618" s="15"/>
      <c r="F618" s="16"/>
    </row>
    <row r="619" spans="5:6" ht="15.75">
      <c r="E619" s="15"/>
      <c r="F619" s="16"/>
    </row>
    <row r="620" spans="5:6" ht="15.75">
      <c r="E620" s="15"/>
      <c r="F620" s="16"/>
    </row>
    <row r="621" spans="5:6" ht="15.75">
      <c r="E621" s="15"/>
      <c r="F621" s="16"/>
    </row>
    <row r="622" spans="5:6" ht="15.75">
      <c r="E622" s="15"/>
      <c r="F622" s="16"/>
    </row>
    <row r="623" spans="5:6" ht="15.75">
      <c r="E623" s="15"/>
      <c r="F623" s="16"/>
    </row>
    <row r="624" spans="5:6" ht="15.75">
      <c r="E624" s="15"/>
      <c r="F624" s="16"/>
    </row>
    <row r="625" spans="5:6" ht="15.75">
      <c r="E625" s="15"/>
      <c r="F625" s="16"/>
    </row>
    <row r="626" spans="5:6" ht="15.75">
      <c r="E626" s="15"/>
      <c r="F626" s="16"/>
    </row>
    <row r="627" spans="5:6" ht="15.75">
      <c r="E627" s="15"/>
      <c r="F627" s="16"/>
    </row>
    <row r="628" spans="5:6" ht="15.75">
      <c r="E628" s="15"/>
      <c r="F628" s="16"/>
    </row>
    <row r="629" spans="5:6" ht="15.75">
      <c r="E629" s="15"/>
      <c r="F629" s="16"/>
    </row>
    <row r="630" spans="5:6" ht="15.75">
      <c r="E630" s="15"/>
      <c r="F630" s="16"/>
    </row>
    <row r="631" spans="5:6" ht="15.75">
      <c r="E631" s="15"/>
      <c r="F631" s="16"/>
    </row>
    <row r="632" spans="5:6" ht="15.75">
      <c r="E632" s="15"/>
      <c r="F632" s="16"/>
    </row>
    <row r="633" spans="5:6" ht="15.75">
      <c r="E633" s="15"/>
      <c r="F633" s="16"/>
    </row>
    <row r="634" spans="5:6" ht="15.75">
      <c r="E634" s="15"/>
      <c r="F634" s="16"/>
    </row>
    <row r="635" spans="5:6" ht="15.75">
      <c r="E635" s="15"/>
      <c r="F635" s="16"/>
    </row>
    <row r="636" spans="5:6" ht="15.75">
      <c r="E636" s="15"/>
      <c r="F636" s="16"/>
    </row>
    <row r="637" spans="5:6" ht="15.75">
      <c r="E637" s="15"/>
      <c r="F637" s="16"/>
    </row>
    <row r="638" spans="5:6" ht="15.75">
      <c r="E638" s="15"/>
      <c r="F638" s="16"/>
    </row>
    <row r="639" spans="5:6" ht="15.75">
      <c r="E639" s="15"/>
      <c r="F639" s="16"/>
    </row>
    <row r="640" spans="5:6" ht="15.75">
      <c r="E640" s="15"/>
      <c r="F640" s="16"/>
    </row>
    <row r="641" spans="5:6" ht="15.75">
      <c r="E641" s="15"/>
      <c r="F641" s="16"/>
    </row>
    <row r="642" spans="5:6" ht="15.75">
      <c r="E642" s="15"/>
      <c r="F642" s="16"/>
    </row>
    <row r="643" spans="5:6" ht="15.75">
      <c r="E643" s="15"/>
      <c r="F643" s="16"/>
    </row>
    <row r="644" spans="5:6" ht="15.75">
      <c r="E644" s="15"/>
      <c r="F644" s="16"/>
    </row>
    <row r="645" spans="5:6" ht="15.75">
      <c r="E645" s="15"/>
      <c r="F645" s="16"/>
    </row>
    <row r="646" spans="5:6" ht="15.75">
      <c r="E646" s="15"/>
      <c r="F646" s="16"/>
    </row>
    <row r="647" spans="5:6" ht="15.75">
      <c r="E647" s="15"/>
      <c r="F647" s="16"/>
    </row>
    <row r="648" spans="5:6" ht="15.75">
      <c r="E648" s="15"/>
      <c r="F648" s="16"/>
    </row>
    <row r="649" spans="5:6" ht="15.75">
      <c r="E649" s="15"/>
      <c r="F649" s="16"/>
    </row>
    <row r="650" spans="5:6" ht="15.75">
      <c r="E650" s="15"/>
      <c r="F650" s="16"/>
    </row>
    <row r="651" spans="5:6" ht="15.75">
      <c r="E651" s="15"/>
      <c r="F651" s="16"/>
    </row>
    <row r="652" spans="5:6" ht="15.75">
      <c r="E652" s="15"/>
      <c r="F652" s="16"/>
    </row>
    <row r="653" spans="5:6" ht="15.75">
      <c r="E653" s="15"/>
      <c r="F653" s="16"/>
    </row>
    <row r="654" spans="5:6" ht="15.75">
      <c r="E654" s="15"/>
      <c r="F654" s="16"/>
    </row>
    <row r="655" spans="5:6" ht="15.75">
      <c r="E655" s="15"/>
      <c r="F655" s="16"/>
    </row>
    <row r="656" spans="5:6" ht="15.75">
      <c r="E656" s="15"/>
      <c r="F656" s="16"/>
    </row>
    <row r="657" spans="5:6" ht="15.75">
      <c r="E657" s="15"/>
      <c r="F657" s="16"/>
    </row>
    <row r="658" spans="5:6" ht="15.75">
      <c r="E658" s="15"/>
      <c r="F658" s="16"/>
    </row>
    <row r="659" spans="5:6" ht="15.75">
      <c r="E659" s="15"/>
      <c r="F659" s="16"/>
    </row>
    <row r="660" spans="5:6" ht="15.75">
      <c r="E660" s="15"/>
      <c r="F660" s="16"/>
    </row>
    <row r="661" spans="5:6" ht="15.75">
      <c r="E661" s="15"/>
      <c r="F661" s="16"/>
    </row>
    <row r="662" spans="5:6" ht="15.75">
      <c r="E662" s="15"/>
      <c r="F662" s="16"/>
    </row>
    <row r="663" spans="5:6" ht="15.75">
      <c r="E663" s="15"/>
      <c r="F663" s="16"/>
    </row>
    <row r="664" spans="5:6" ht="15.75">
      <c r="E664" s="15"/>
      <c r="F664" s="16"/>
    </row>
    <row r="665" spans="5:6" ht="15.75">
      <c r="E665" s="15"/>
      <c r="F665" s="16"/>
    </row>
    <row r="666" spans="5:6" ht="15.75">
      <c r="E666" s="15"/>
      <c r="F666" s="16"/>
    </row>
    <row r="667" spans="5:6" ht="15.75">
      <c r="E667" s="15"/>
      <c r="F667" s="16"/>
    </row>
    <row r="668" spans="5:6" ht="15.75">
      <c r="E668" s="15"/>
      <c r="F668" s="16"/>
    </row>
    <row r="669" spans="5:6" ht="15.75">
      <c r="E669" s="15"/>
      <c r="F669" s="16"/>
    </row>
    <row r="670" spans="5:6" ht="15.75">
      <c r="E670" s="15"/>
      <c r="F670" s="16"/>
    </row>
    <row r="671" spans="5:6" ht="15.75">
      <c r="E671" s="15"/>
      <c r="F671" s="16"/>
    </row>
    <row r="672" spans="5:6" ht="15.75">
      <c r="E672" s="15"/>
      <c r="F672" s="16"/>
    </row>
    <row r="673" spans="5:6" ht="15.75">
      <c r="E673" s="15"/>
      <c r="F673" s="16"/>
    </row>
    <row r="674" spans="5:6" ht="15.75">
      <c r="E674" s="15"/>
      <c r="F674" s="16"/>
    </row>
    <row r="675" spans="5:6" ht="15.75">
      <c r="E675" s="15"/>
      <c r="F675" s="16"/>
    </row>
    <row r="676" spans="5:6" ht="15.75">
      <c r="E676" s="15"/>
      <c r="F676" s="16"/>
    </row>
    <row r="677" spans="5:6" ht="15.75">
      <c r="E677" s="15"/>
      <c r="F677" s="16"/>
    </row>
    <row r="678" spans="5:6" ht="15.75">
      <c r="E678" s="15"/>
      <c r="F678" s="16"/>
    </row>
    <row r="679" spans="5:6" ht="15.75">
      <c r="E679" s="15"/>
      <c r="F679" s="16"/>
    </row>
    <row r="680" spans="5:6" ht="15.75">
      <c r="E680" s="15"/>
      <c r="F680" s="16"/>
    </row>
    <row r="681" spans="5:6" ht="15.75">
      <c r="E681" s="15"/>
      <c r="F681" s="16"/>
    </row>
    <row r="682" spans="5:6" ht="15.75">
      <c r="E682" s="15"/>
      <c r="F682" s="16"/>
    </row>
    <row r="683" spans="5:6" ht="15.75">
      <c r="E683" s="15"/>
      <c r="F683" s="16"/>
    </row>
    <row r="684" spans="5:6" ht="15.75">
      <c r="E684" s="15"/>
      <c r="F684" s="16"/>
    </row>
    <row r="685" spans="5:6" ht="15.75">
      <c r="E685" s="15"/>
      <c r="F685" s="16"/>
    </row>
    <row r="686" spans="5:6" ht="15.75">
      <c r="E686" s="15"/>
      <c r="F686" s="16"/>
    </row>
    <row r="687" spans="5:6" ht="15.75">
      <c r="E687" s="15"/>
      <c r="F687" s="16"/>
    </row>
    <row r="688" spans="5:6" ht="15.75">
      <c r="E688" s="15"/>
      <c r="F688" s="16"/>
    </row>
    <row r="689" spans="5:6" ht="15.75">
      <c r="E689" s="15"/>
      <c r="F689" s="16"/>
    </row>
    <row r="690" spans="5:6" ht="15.75">
      <c r="E690" s="15"/>
      <c r="F690" s="16"/>
    </row>
    <row r="691" spans="5:6" ht="15.75">
      <c r="E691" s="15"/>
      <c r="F691" s="16"/>
    </row>
    <row r="692" spans="5:6" ht="15.75">
      <c r="E692" s="15"/>
      <c r="F692" s="16"/>
    </row>
    <row r="693" spans="5:6" ht="15.75">
      <c r="E693" s="15"/>
      <c r="F693" s="16"/>
    </row>
    <row r="694" spans="5:6" ht="15.75">
      <c r="E694" s="15"/>
      <c r="F694" s="16"/>
    </row>
    <row r="695" spans="5:6" ht="15.75">
      <c r="E695" s="15"/>
      <c r="F695" s="16"/>
    </row>
    <row r="696" spans="5:6" ht="15.75">
      <c r="E696" s="15"/>
      <c r="F696" s="16"/>
    </row>
    <row r="697" spans="5:6" ht="15.75">
      <c r="E697" s="15"/>
      <c r="F697" s="16"/>
    </row>
    <row r="698" spans="5:6" ht="15.75">
      <c r="E698" s="15"/>
      <c r="F698" s="16"/>
    </row>
    <row r="699" spans="5:6" ht="15.75">
      <c r="E699" s="15"/>
      <c r="F699" s="16"/>
    </row>
    <row r="700" spans="5:6" ht="15.75">
      <c r="E700" s="15"/>
      <c r="F700" s="16"/>
    </row>
    <row r="701" spans="5:6" ht="15.75">
      <c r="E701" s="15"/>
      <c r="F701" s="16"/>
    </row>
    <row r="702" spans="5:6" ht="15.75">
      <c r="E702" s="15"/>
      <c r="F702" s="16"/>
    </row>
    <row r="703" spans="5:6" ht="15.75">
      <c r="E703" s="15"/>
      <c r="F703" s="16"/>
    </row>
    <row r="704" spans="5:6" ht="15.75">
      <c r="E704" s="15"/>
      <c r="F704" s="16"/>
    </row>
    <row r="705" spans="5:6" ht="15.75">
      <c r="E705" s="15"/>
      <c r="F705" s="16"/>
    </row>
    <row r="706" spans="5:6" ht="15.75">
      <c r="E706" s="15"/>
      <c r="F706" s="16"/>
    </row>
    <row r="707" spans="5:6" ht="15.75">
      <c r="E707" s="15"/>
      <c r="F707" s="16"/>
    </row>
    <row r="708" spans="5:6" ht="15.75">
      <c r="E708" s="15"/>
      <c r="F708" s="16"/>
    </row>
    <row r="709" spans="5:6" ht="15.75">
      <c r="E709" s="15"/>
      <c r="F709" s="16"/>
    </row>
    <row r="710" spans="5:6" ht="15.75">
      <c r="E710" s="15"/>
      <c r="F710" s="16"/>
    </row>
    <row r="711" spans="5:6" ht="15.75">
      <c r="E711" s="15"/>
      <c r="F711" s="16"/>
    </row>
    <row r="712" spans="5:6" ht="15.75">
      <c r="E712" s="15"/>
      <c r="F712" s="16"/>
    </row>
    <row r="713" spans="5:6" ht="15.75">
      <c r="E713" s="15"/>
      <c r="F713" s="16"/>
    </row>
    <row r="714" spans="5:6" ht="15.75">
      <c r="E714" s="15"/>
      <c r="F714" s="16"/>
    </row>
    <row r="715" spans="5:6" ht="15.75">
      <c r="E715" s="15"/>
      <c r="F715" s="16"/>
    </row>
    <row r="716" spans="5:6" ht="15.75">
      <c r="E716" s="15"/>
      <c r="F716" s="16"/>
    </row>
    <row r="717" spans="5:6" ht="15.75">
      <c r="E717" s="15"/>
      <c r="F717" s="16"/>
    </row>
    <row r="718" spans="5:6" ht="15.75">
      <c r="E718" s="15"/>
      <c r="F718" s="16"/>
    </row>
    <row r="719" spans="5:6" ht="15.75">
      <c r="E719" s="15"/>
      <c r="F719" s="16"/>
    </row>
    <row r="720" spans="5:6" ht="15.75">
      <c r="E720" s="15"/>
      <c r="F720" s="16"/>
    </row>
    <row r="721" spans="5:6" ht="15.75">
      <c r="E721" s="15"/>
      <c r="F721" s="16"/>
    </row>
    <row r="722" spans="5:6" ht="15.75">
      <c r="E722" s="15"/>
      <c r="F722" s="16"/>
    </row>
    <row r="723" spans="5:6" ht="15.75">
      <c r="E723" s="15"/>
      <c r="F723" s="16"/>
    </row>
    <row r="724" spans="5:6" ht="15.75">
      <c r="E724" s="15"/>
      <c r="F724" s="16"/>
    </row>
    <row r="725" spans="5:6" ht="15.75">
      <c r="E725" s="15"/>
      <c r="F725" s="16"/>
    </row>
    <row r="726" spans="5:6" ht="15.75">
      <c r="E726" s="15"/>
      <c r="F726" s="16"/>
    </row>
    <row r="727" spans="5:6" ht="15.75">
      <c r="E727" s="15"/>
      <c r="F727" s="16"/>
    </row>
    <row r="728" spans="5:6" ht="15.75">
      <c r="E728" s="15"/>
      <c r="F728" s="16"/>
    </row>
    <row r="729" spans="5:6" ht="15.75">
      <c r="E729" s="15"/>
      <c r="F729" s="16"/>
    </row>
    <row r="730" spans="5:6" ht="15.75">
      <c r="E730" s="15"/>
      <c r="F730" s="16"/>
    </row>
    <row r="731" spans="5:6" ht="15.75">
      <c r="E731" s="15"/>
      <c r="F731" s="16"/>
    </row>
    <row r="732" spans="5:6" ht="15.75">
      <c r="E732" s="15"/>
      <c r="F732" s="16"/>
    </row>
    <row r="733" spans="5:6" ht="15.75">
      <c r="E733" s="15"/>
      <c r="F733" s="16"/>
    </row>
    <row r="734" spans="5:6" ht="15.75">
      <c r="E734" s="15"/>
      <c r="F734" s="16"/>
    </row>
    <row r="735" spans="5:6" ht="15.75">
      <c r="E735" s="15"/>
      <c r="F735" s="16"/>
    </row>
    <row r="736" spans="5:6" ht="15.75">
      <c r="E736" s="15"/>
      <c r="F736" s="16"/>
    </row>
    <row r="737" spans="5:6" ht="15.75">
      <c r="E737" s="15"/>
      <c r="F737" s="16"/>
    </row>
    <row r="738" spans="5:6" ht="15.75">
      <c r="E738" s="15"/>
      <c r="F738" s="16"/>
    </row>
    <row r="739" spans="5:6" ht="15.75">
      <c r="E739" s="15"/>
      <c r="F739" s="16"/>
    </row>
    <row r="740" spans="5:6" ht="15.75">
      <c r="E740" s="15"/>
      <c r="F740" s="16"/>
    </row>
    <row r="741" spans="5:6" ht="15.75">
      <c r="E741" s="15"/>
      <c r="F741" s="16"/>
    </row>
    <row r="742" spans="5:6" ht="15.75">
      <c r="E742" s="15"/>
      <c r="F742" s="16"/>
    </row>
    <row r="743" spans="5:6" ht="15.75">
      <c r="E743" s="15"/>
      <c r="F743" s="16"/>
    </row>
    <row r="744" spans="5:6" ht="15.75">
      <c r="E744" s="15"/>
      <c r="F744" s="16"/>
    </row>
    <row r="745" spans="5:6" ht="15.75">
      <c r="E745" s="15"/>
      <c r="F745" s="16"/>
    </row>
    <row r="746" spans="5:6" ht="15.75">
      <c r="E746" s="15"/>
      <c r="F746" s="16"/>
    </row>
    <row r="747" spans="5:6" ht="15.75">
      <c r="E747" s="15"/>
      <c r="F747" s="16"/>
    </row>
    <row r="748" spans="5:6" ht="15.75">
      <c r="E748" s="15"/>
      <c r="F748" s="16"/>
    </row>
    <row r="749" spans="5:6" ht="15.75">
      <c r="E749" s="15"/>
      <c r="F749" s="16"/>
    </row>
    <row r="750" spans="5:6" ht="15.75">
      <c r="E750" s="15"/>
      <c r="F750" s="16"/>
    </row>
    <row r="751" spans="5:6" ht="15.75">
      <c r="E751" s="15"/>
      <c r="F751" s="16"/>
    </row>
    <row r="752" spans="5:6" ht="15.75">
      <c r="E752" s="15"/>
      <c r="F752" s="16"/>
    </row>
    <row r="753" spans="5:6" ht="15.75">
      <c r="E753" s="15"/>
      <c r="F753" s="16"/>
    </row>
    <row r="754" spans="5:6" ht="15.75">
      <c r="E754" s="15"/>
      <c r="F754" s="16"/>
    </row>
    <row r="755" spans="5:6" ht="15.75">
      <c r="E755" s="15"/>
      <c r="F755" s="16"/>
    </row>
    <row r="756" spans="5:6" ht="15.75">
      <c r="E756" s="15"/>
      <c r="F756" s="16"/>
    </row>
    <row r="757" spans="5:6" ht="15.75">
      <c r="E757" s="15"/>
      <c r="F757" s="16"/>
    </row>
    <row r="758" spans="5:6" ht="15.75">
      <c r="E758" s="15"/>
      <c r="F758" s="16"/>
    </row>
    <row r="759" spans="5:6" ht="15.75">
      <c r="E759" s="15"/>
      <c r="F759" s="16"/>
    </row>
    <row r="760" spans="5:6" ht="15.75">
      <c r="E760" s="15"/>
      <c r="F760" s="16"/>
    </row>
    <row r="761" spans="5:6" ht="15.75">
      <c r="E761" s="15"/>
      <c r="F761" s="16"/>
    </row>
    <row r="762" spans="5:6" ht="15.75">
      <c r="E762" s="15"/>
      <c r="F762" s="16"/>
    </row>
    <row r="763" spans="5:6" ht="15.75">
      <c r="E763" s="15"/>
      <c r="F763" s="16"/>
    </row>
    <row r="764" spans="5:6" ht="15.75">
      <c r="E764" s="15"/>
      <c r="F764" s="16"/>
    </row>
    <row r="765" spans="5:6" ht="15.75">
      <c r="E765" s="15"/>
      <c r="F765" s="16"/>
    </row>
    <row r="766" spans="5:6" ht="15.75">
      <c r="E766" s="15"/>
      <c r="F766" s="16"/>
    </row>
    <row r="767" spans="5:6" ht="15.75">
      <c r="E767" s="15"/>
      <c r="F767" s="16"/>
    </row>
    <row r="768" spans="5:6" ht="15.75">
      <c r="E768" s="15"/>
      <c r="F768" s="16"/>
    </row>
    <row r="769" spans="5:6" ht="15.75">
      <c r="E769" s="15"/>
      <c r="F769" s="16"/>
    </row>
    <row r="770" spans="5:6" ht="15.75">
      <c r="E770" s="15"/>
      <c r="F770" s="16"/>
    </row>
    <row r="771" spans="5:6" ht="15.75">
      <c r="E771" s="15"/>
      <c r="F771" s="16"/>
    </row>
    <row r="772" spans="5:6" ht="15.75">
      <c r="E772" s="15"/>
      <c r="F772" s="16"/>
    </row>
    <row r="773" spans="5:6" ht="15.75">
      <c r="E773" s="15"/>
      <c r="F773" s="16"/>
    </row>
    <row r="774" spans="5:6" ht="15.75">
      <c r="E774" s="15"/>
      <c r="F774" s="16"/>
    </row>
    <row r="775" spans="5:6" ht="15.75">
      <c r="E775" s="15"/>
      <c r="F775" s="16"/>
    </row>
    <row r="776" spans="5:6" ht="15.75">
      <c r="E776" s="15"/>
      <c r="F776" s="16"/>
    </row>
    <row r="777" spans="5:6" ht="15.75">
      <c r="E777" s="15"/>
      <c r="F777" s="16"/>
    </row>
    <row r="778" spans="5:6" ht="15.75">
      <c r="E778" s="15"/>
      <c r="F778" s="16"/>
    </row>
    <row r="779" spans="5:6" ht="15.75">
      <c r="E779" s="15"/>
      <c r="F779" s="16"/>
    </row>
    <row r="780" spans="5:6" ht="15.75">
      <c r="E780" s="15"/>
      <c r="F780" s="16"/>
    </row>
    <row r="781" spans="5:6" ht="15.75">
      <c r="E781" s="15"/>
      <c r="F781" s="16"/>
    </row>
    <row r="782" spans="5:6" ht="15.75">
      <c r="E782" s="15"/>
      <c r="F782" s="16"/>
    </row>
    <row r="783" spans="5:6" ht="15.75">
      <c r="E783" s="15"/>
      <c r="F783" s="16"/>
    </row>
    <row r="784" spans="5:6" ht="15.75">
      <c r="E784" s="15"/>
      <c r="F784" s="16"/>
    </row>
    <row r="785" spans="5:6" ht="15.75">
      <c r="E785" s="15"/>
      <c r="F785" s="16"/>
    </row>
    <row r="786" spans="5:6" ht="15.75">
      <c r="E786" s="15"/>
      <c r="F786" s="16"/>
    </row>
    <row r="787" spans="5:6" ht="15.75">
      <c r="E787" s="15"/>
      <c r="F787" s="16"/>
    </row>
    <row r="788" spans="5:6" ht="15.75">
      <c r="E788" s="15"/>
      <c r="F788" s="16"/>
    </row>
    <row r="789" spans="5:6" ht="15.75">
      <c r="E789" s="15"/>
      <c r="F789" s="16"/>
    </row>
    <row r="790" spans="5:6" ht="15.75">
      <c r="E790" s="15"/>
      <c r="F790" s="16"/>
    </row>
    <row r="791" spans="5:6" ht="15.75">
      <c r="E791" s="15"/>
      <c r="F791" s="16"/>
    </row>
    <row r="792" spans="5:6" ht="15.75">
      <c r="E792" s="15"/>
      <c r="F792" s="16"/>
    </row>
    <row r="793" spans="5:6" ht="15.75">
      <c r="E793" s="15"/>
      <c r="F793" s="16"/>
    </row>
    <row r="794" spans="5:6" ht="15.75">
      <c r="E794" s="15"/>
      <c r="F794" s="16"/>
    </row>
    <row r="795" spans="5:6" ht="15.75">
      <c r="E795" s="15"/>
      <c r="F795" s="16"/>
    </row>
    <row r="796" spans="5:6" ht="15.75">
      <c r="E796" s="15"/>
      <c r="F796" s="16"/>
    </row>
    <row r="797" spans="5:6" ht="15.75">
      <c r="E797" s="15"/>
      <c r="F797" s="16"/>
    </row>
    <row r="798" spans="5:6" ht="15.75">
      <c r="E798" s="15"/>
      <c r="F798" s="16"/>
    </row>
    <row r="799" spans="5:6" ht="15.75">
      <c r="E799" s="15"/>
      <c r="F799" s="16"/>
    </row>
    <row r="800" spans="5:6" ht="15.75">
      <c r="E800" s="15"/>
      <c r="F800" s="16"/>
    </row>
    <row r="801" spans="5:6" ht="15.75">
      <c r="E801" s="15"/>
      <c r="F801" s="16"/>
    </row>
    <row r="802" spans="5:6" ht="15.75">
      <c r="E802" s="15"/>
      <c r="F802" s="16"/>
    </row>
    <row r="803" spans="5:6" ht="15.75">
      <c r="E803" s="15"/>
      <c r="F803" s="16"/>
    </row>
    <row r="804" spans="5:6" ht="15.75">
      <c r="E804" s="15"/>
      <c r="F804" s="16"/>
    </row>
    <row r="805" spans="5:6" ht="15.75">
      <c r="E805" s="15"/>
      <c r="F805" s="16"/>
    </row>
    <row r="806" spans="5:6" ht="15.75">
      <c r="E806" s="15"/>
      <c r="F806" s="16"/>
    </row>
    <row r="807" spans="5:6" ht="15.75">
      <c r="E807" s="15"/>
      <c r="F807" s="16"/>
    </row>
    <row r="808" spans="5:6" ht="15.75">
      <c r="E808" s="15"/>
      <c r="F808" s="16"/>
    </row>
    <row r="809" spans="5:6" ht="15.75">
      <c r="E809" s="15"/>
      <c r="F809" s="16"/>
    </row>
    <row r="810" spans="5:6" ht="15.75">
      <c r="E810" s="15"/>
      <c r="F810" s="16"/>
    </row>
    <row r="811" spans="5:6" ht="15.75">
      <c r="E811" s="15"/>
      <c r="F811" s="16"/>
    </row>
    <row r="812" spans="5:6" ht="15.75">
      <c r="E812" s="15"/>
      <c r="F812" s="16"/>
    </row>
    <row r="813" spans="5:6" ht="15.75">
      <c r="E813" s="15"/>
      <c r="F813" s="16"/>
    </row>
    <row r="814" spans="5:6" ht="15.75">
      <c r="E814" s="15"/>
      <c r="F814" s="16"/>
    </row>
    <row r="815" spans="5:6" ht="15.75">
      <c r="E815" s="15"/>
      <c r="F815" s="16"/>
    </row>
    <row r="816" spans="5:6" ht="15.75">
      <c r="E816" s="15"/>
      <c r="F816" s="16"/>
    </row>
    <row r="817" spans="5:6" ht="15.75">
      <c r="E817" s="15"/>
      <c r="F817" s="16"/>
    </row>
    <row r="818" spans="5:6" ht="15.75">
      <c r="E818" s="15"/>
      <c r="F818" s="16"/>
    </row>
    <row r="819" spans="5:6" ht="15.75">
      <c r="E819" s="15"/>
      <c r="F819" s="16"/>
    </row>
    <row r="820" spans="5:6" ht="15.75">
      <c r="E820" s="15"/>
      <c r="F820" s="16"/>
    </row>
    <row r="821" spans="5:6" ht="15.75">
      <c r="E821" s="15"/>
      <c r="F821" s="16"/>
    </row>
    <row r="822" spans="5:6" ht="15.75">
      <c r="E822" s="15"/>
      <c r="F822" s="16"/>
    </row>
    <row r="823" spans="5:6" ht="15.75">
      <c r="E823" s="15"/>
      <c r="F823" s="16"/>
    </row>
    <row r="824" spans="5:6" ht="15.75">
      <c r="E824" s="15"/>
      <c r="F824" s="16"/>
    </row>
    <row r="825" spans="5:6" ht="15.75">
      <c r="E825" s="15"/>
      <c r="F825" s="16"/>
    </row>
    <row r="826" spans="5:6" ht="15.75">
      <c r="E826" s="15"/>
      <c r="F826" s="16"/>
    </row>
    <row r="827" spans="5:6" ht="15.75">
      <c r="E827" s="15"/>
      <c r="F827" s="16"/>
    </row>
    <row r="828" spans="5:6" ht="15.75">
      <c r="E828" s="15"/>
      <c r="F828" s="16"/>
    </row>
    <row r="829" spans="5:6" ht="15.75">
      <c r="E829" s="15"/>
      <c r="F829" s="16"/>
    </row>
    <row r="830" spans="5:6" ht="15.75">
      <c r="E830" s="15"/>
      <c r="F830" s="16"/>
    </row>
    <row r="831" spans="5:6" ht="15.75">
      <c r="E831" s="15"/>
      <c r="F831" s="16"/>
    </row>
    <row r="832" spans="5:6" ht="15.75">
      <c r="E832" s="15"/>
      <c r="F832" s="16"/>
    </row>
    <row r="833" spans="5:6" ht="15.75">
      <c r="E833" s="15"/>
      <c r="F833" s="16"/>
    </row>
    <row r="834" spans="5:6" ht="15.75">
      <c r="E834" s="15"/>
      <c r="F834" s="16"/>
    </row>
    <row r="835" spans="5:6" ht="15.75">
      <c r="E835" s="15"/>
      <c r="F835" s="16"/>
    </row>
    <row r="836" spans="5:6" ht="15.75">
      <c r="E836" s="15"/>
      <c r="F836" s="16"/>
    </row>
    <row r="837" spans="5:6" ht="15.75">
      <c r="E837" s="15"/>
      <c r="F837" s="16"/>
    </row>
    <row r="838" spans="5:6" ht="15.75">
      <c r="E838" s="15"/>
      <c r="F838" s="16"/>
    </row>
    <row r="839" spans="5:6" ht="15.75">
      <c r="E839" s="15"/>
      <c r="F839" s="16"/>
    </row>
    <row r="840" spans="5:6" ht="15.75">
      <c r="E840" s="15"/>
      <c r="F840" s="16"/>
    </row>
    <row r="841" spans="5:6" ht="15.75">
      <c r="E841" s="15"/>
      <c r="F841" s="16"/>
    </row>
    <row r="842" spans="5:6" ht="15.75">
      <c r="E842" s="15"/>
      <c r="F842" s="16"/>
    </row>
    <row r="843" spans="5:6" ht="15.75">
      <c r="E843" s="15"/>
      <c r="F843" s="16"/>
    </row>
    <row r="844" spans="5:6" ht="15.75">
      <c r="E844" s="15"/>
      <c r="F844" s="16"/>
    </row>
    <row r="845" spans="5:6" ht="15.75">
      <c r="E845" s="15"/>
      <c r="F845" s="16"/>
    </row>
    <row r="846" spans="5:6" ht="15.75">
      <c r="E846" s="15"/>
      <c r="F846" s="16"/>
    </row>
    <row r="847" spans="5:6" ht="15.75">
      <c r="E847" s="15"/>
      <c r="F847" s="16"/>
    </row>
    <row r="848" spans="5:6" ht="15.75">
      <c r="E848" s="15"/>
      <c r="F848" s="16"/>
    </row>
    <row r="849" spans="5:6" ht="15.75">
      <c r="E849" s="15"/>
      <c r="F849" s="16"/>
    </row>
    <row r="850" spans="5:6" ht="15.75">
      <c r="E850" s="15"/>
      <c r="F850" s="16"/>
    </row>
    <row r="851" spans="5:6" ht="15.75">
      <c r="E851" s="15"/>
      <c r="F851" s="16"/>
    </row>
    <row r="852" spans="5:6" ht="15.75">
      <c r="E852" s="15"/>
      <c r="F852" s="16"/>
    </row>
    <row r="853" spans="5:6" ht="15.75">
      <c r="E853" s="15"/>
      <c r="F853" s="16"/>
    </row>
    <row r="854" spans="5:6" ht="15.75">
      <c r="E854" s="15"/>
      <c r="F854" s="16"/>
    </row>
    <row r="855" spans="5:6" ht="15.75">
      <c r="E855" s="15"/>
      <c r="F855" s="16"/>
    </row>
    <row r="856" spans="5:6" ht="15.75">
      <c r="E856" s="15"/>
      <c r="F856" s="16"/>
    </row>
    <row r="857" spans="5:6" ht="15.75">
      <c r="E857" s="15"/>
      <c r="F857" s="16"/>
    </row>
    <row r="858" spans="5:6" ht="15.75">
      <c r="E858" s="15"/>
      <c r="F858" s="16"/>
    </row>
    <row r="859" spans="5:6" ht="15.75">
      <c r="E859" s="15"/>
      <c r="F859" s="16"/>
    </row>
    <row r="860" spans="5:6" ht="15.75">
      <c r="E860" s="15"/>
      <c r="F860" s="16"/>
    </row>
    <row r="861" spans="5:6" ht="15.75">
      <c r="E861" s="15"/>
      <c r="F861" s="16"/>
    </row>
    <row r="862" spans="5:6" ht="15.75">
      <c r="E862" s="15"/>
      <c r="F862" s="16"/>
    </row>
    <row r="863" spans="5:6" ht="15.75">
      <c r="E863" s="15"/>
      <c r="F863" s="16"/>
    </row>
    <row r="864" spans="5:6" ht="15.75">
      <c r="E864" s="15"/>
      <c r="F864" s="16"/>
    </row>
    <row r="865" spans="5:6" ht="15.75">
      <c r="E865" s="15"/>
      <c r="F865" s="16"/>
    </row>
    <row r="866" spans="5:6" ht="15.75">
      <c r="E866" s="15"/>
      <c r="F866" s="16"/>
    </row>
    <row r="867" spans="5:6" ht="15.75">
      <c r="E867" s="15"/>
      <c r="F867" s="16"/>
    </row>
    <row r="868" spans="5:6" ht="15.75">
      <c r="E868" s="15"/>
      <c r="F868" s="16"/>
    </row>
    <row r="869" spans="5:6" ht="15.75">
      <c r="E869" s="15"/>
      <c r="F869" s="16"/>
    </row>
    <row r="870" spans="5:6" ht="15.75">
      <c r="E870" s="15"/>
      <c r="F870" s="16"/>
    </row>
    <row r="871" spans="5:6" ht="15.75">
      <c r="E871" s="15"/>
      <c r="F871" s="16"/>
    </row>
    <row r="872" spans="5:6" ht="15.75">
      <c r="E872" s="15"/>
      <c r="F872" s="16"/>
    </row>
    <row r="873" spans="5:6" ht="15.75">
      <c r="E873" s="15"/>
      <c r="F873" s="16"/>
    </row>
    <row r="874" spans="5:6" ht="15.75">
      <c r="E874" s="15"/>
      <c r="F874" s="16"/>
    </row>
    <row r="875" spans="5:6" ht="15.75">
      <c r="E875" s="15"/>
      <c r="F875" s="16"/>
    </row>
    <row r="876" spans="5:6" ht="15.75">
      <c r="E876" s="15"/>
      <c r="F876" s="16"/>
    </row>
    <row r="877" spans="5:6" ht="15.75">
      <c r="E877" s="15"/>
      <c r="F877" s="16"/>
    </row>
    <row r="878" spans="5:6" ht="15.75">
      <c r="E878" s="15"/>
      <c r="F878" s="16"/>
    </row>
    <row r="879" spans="5:6" ht="15.75">
      <c r="E879" s="15"/>
      <c r="F879" s="16"/>
    </row>
    <row r="880" spans="5:6" ht="15.75" customHeight="1">
      <c r="E880" s="15"/>
      <c r="F880" s="16"/>
    </row>
    <row r="881" spans="5:6" ht="15.75" customHeight="1">
      <c r="E881" s="15"/>
      <c r="F881" s="16"/>
    </row>
    <row r="882" spans="5:6" ht="15.75" customHeight="1">
      <c r="E882" s="15"/>
      <c r="F882" s="16"/>
    </row>
    <row r="883" spans="5:6" ht="15.75" customHeight="1">
      <c r="E883" s="15"/>
      <c r="F883" s="16"/>
    </row>
    <row r="884" spans="5:6" ht="15.75" customHeight="1">
      <c r="E884" s="15"/>
      <c r="F884" s="16"/>
    </row>
    <row r="885" spans="5:6" ht="15.75" customHeight="1">
      <c r="E885" s="15"/>
      <c r="F885" s="16"/>
    </row>
    <row r="886" spans="5:6" ht="15.75" customHeight="1">
      <c r="E886" s="15"/>
      <c r="F886" s="16"/>
    </row>
    <row r="887" spans="5:6" ht="15.75" customHeight="1">
      <c r="E887" s="15"/>
      <c r="F887" s="16"/>
    </row>
    <row r="888" spans="5:6" ht="15.75" customHeight="1">
      <c r="E888" s="15"/>
      <c r="F888" s="16"/>
    </row>
    <row r="889" spans="5:6" ht="15.75" customHeight="1">
      <c r="E889" s="15"/>
      <c r="F889" s="16"/>
    </row>
    <row r="890" spans="5:6" ht="15.75" customHeight="1">
      <c r="E890" s="15"/>
      <c r="F890" s="16"/>
    </row>
    <row r="891" spans="5:6" ht="15.75" customHeight="1">
      <c r="E891" s="15"/>
      <c r="F891" s="16"/>
    </row>
  </sheetData>
  <autoFilter ref="A10:F13" xr:uid="{00000000-0009-0000-0000-000002000000}"/>
  <mergeCells count="128">
    <mergeCell ref="A1:B3"/>
    <mergeCell ref="C1:E3"/>
    <mergeCell ref="A8:B8"/>
    <mergeCell ref="B10:C10"/>
    <mergeCell ref="B11:C11"/>
    <mergeCell ref="B12:C12"/>
    <mergeCell ref="B13:C13"/>
    <mergeCell ref="B14:C14"/>
    <mergeCell ref="A15:F15"/>
    <mergeCell ref="B16:C16"/>
    <mergeCell ref="B21:C21"/>
    <mergeCell ref="B22:C22"/>
    <mergeCell ref="B23:C23"/>
    <mergeCell ref="B24:C24"/>
    <mergeCell ref="B25:C25"/>
    <mergeCell ref="B26:C26"/>
    <mergeCell ref="A17:C17"/>
    <mergeCell ref="D17:F17"/>
    <mergeCell ref="A18:C18"/>
    <mergeCell ref="D18:F18"/>
    <mergeCell ref="B19:C19"/>
    <mergeCell ref="B20:C20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28:C128"/>
  </mergeCells>
  <pageMargins left="0.59055118110236215" right="0.39370078740157477" top="0.59027777777777801" bottom="0.196527777777778" header="0" footer="0"/>
  <pageSetup paperSize="9" fitToHeight="0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1AF0-CC5D-45EA-98B5-8AFED1E47B5C}">
  <dimension ref="A1:Y1015"/>
  <sheetViews>
    <sheetView topLeftCell="A100" workbookViewId="0">
      <selection activeCell="C111" sqref="C111"/>
    </sheetView>
  </sheetViews>
  <sheetFormatPr defaultRowHeight="14.25"/>
  <cols>
    <col min="2" max="2" width="20.796875" customWidth="1"/>
    <col min="3" max="3" width="48.46484375" customWidth="1"/>
    <col min="4" max="4" width="13.19921875" customWidth="1"/>
  </cols>
  <sheetData>
    <row r="1" spans="1:25" ht="21" customHeight="1"/>
    <row r="2" spans="1:25" ht="20.65">
      <c r="A2" s="52" t="s">
        <v>0</v>
      </c>
      <c r="B2" s="52"/>
      <c r="C2" s="52"/>
      <c r="D2" s="52"/>
      <c r="E2" s="5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52.5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65" thickBot="1">
      <c r="A5" s="5"/>
      <c r="B5" s="5"/>
      <c r="C5" s="5"/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65" thickBot="1">
      <c r="A6" s="6" t="s">
        <v>6</v>
      </c>
      <c r="B6" s="5"/>
      <c r="C6" s="7" t="s">
        <v>7</v>
      </c>
      <c r="D6" s="5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65" thickBot="1">
      <c r="A7" s="6" t="s">
        <v>8</v>
      </c>
      <c r="B7" s="5"/>
      <c r="C7" s="7" t="s">
        <v>9</v>
      </c>
      <c r="D7" s="5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65" thickBot="1">
      <c r="A8" s="6">
        <v>1</v>
      </c>
      <c r="B8" s="7" t="s">
        <v>10</v>
      </c>
      <c r="C8" s="7" t="s">
        <v>11</v>
      </c>
      <c r="D8" s="5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3.45" customHeight="1" thickBot="1">
      <c r="A9" s="5"/>
      <c r="B9" s="5" t="s">
        <v>12</v>
      </c>
      <c r="C9" s="5" t="s">
        <v>13</v>
      </c>
      <c r="D9" s="5" t="s">
        <v>14</v>
      </c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3.45" customHeight="1" thickBot="1">
      <c r="A10" s="8"/>
      <c r="B10" s="8" t="s">
        <v>15</v>
      </c>
      <c r="C10" s="5" t="s">
        <v>16</v>
      </c>
      <c r="D10" s="5" t="s">
        <v>14</v>
      </c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3.45" customHeight="1" thickBot="1">
      <c r="A11" s="8"/>
      <c r="B11" s="8" t="s">
        <v>17</v>
      </c>
      <c r="C11" s="5" t="s">
        <v>18</v>
      </c>
      <c r="D11" s="5" t="s">
        <v>14</v>
      </c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3.45" customHeight="1" thickBot="1">
      <c r="A12" s="8"/>
      <c r="B12" s="8" t="s">
        <v>19</v>
      </c>
      <c r="C12" s="5" t="s">
        <v>20</v>
      </c>
      <c r="D12" s="5" t="s">
        <v>14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45" customHeight="1" thickBot="1">
      <c r="A13" s="8"/>
      <c r="B13" s="8" t="s">
        <v>21</v>
      </c>
      <c r="C13" s="5" t="s">
        <v>22</v>
      </c>
      <c r="D13" s="5" t="s">
        <v>14</v>
      </c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3.45" customHeight="1" thickBot="1">
      <c r="A14" s="8"/>
      <c r="B14" s="8" t="s">
        <v>23</v>
      </c>
      <c r="C14" s="5" t="s">
        <v>24</v>
      </c>
      <c r="D14" s="5" t="s">
        <v>14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3.45" customHeight="1" thickBot="1">
      <c r="A15" s="8"/>
      <c r="B15" s="8" t="s">
        <v>25</v>
      </c>
      <c r="C15" s="5" t="s">
        <v>26</v>
      </c>
      <c r="D15" s="5" t="s">
        <v>14</v>
      </c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3.45" customHeight="1" thickBot="1">
      <c r="A16" s="8"/>
      <c r="B16" s="8" t="s">
        <v>27</v>
      </c>
      <c r="C16" s="8" t="s">
        <v>28</v>
      </c>
      <c r="D16" s="8" t="s">
        <v>14</v>
      </c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3.45" customHeight="1" thickBot="1">
      <c r="A17" s="8"/>
      <c r="B17" s="8" t="s">
        <v>29</v>
      </c>
      <c r="C17" s="8" t="s">
        <v>30</v>
      </c>
      <c r="D17" s="8" t="s">
        <v>14</v>
      </c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3.45" customHeight="1" thickBot="1">
      <c r="A18" s="8"/>
      <c r="B18" s="8" t="s">
        <v>31</v>
      </c>
      <c r="C18" s="8" t="s">
        <v>32</v>
      </c>
      <c r="D18" s="8" t="s">
        <v>14</v>
      </c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3.45" customHeight="1" thickBot="1">
      <c r="A19" s="8"/>
      <c r="B19" s="8" t="s">
        <v>33</v>
      </c>
      <c r="C19" s="8" t="s">
        <v>34</v>
      </c>
      <c r="D19" s="8" t="s">
        <v>14</v>
      </c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3.45" customHeight="1" thickBot="1">
      <c r="A20" s="8"/>
      <c r="B20" s="8" t="s">
        <v>35</v>
      </c>
      <c r="C20" s="8" t="s">
        <v>36</v>
      </c>
      <c r="D20" s="8" t="s">
        <v>14</v>
      </c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3.45" customHeight="1">
      <c r="A21" s="1"/>
      <c r="B21" s="1" t="s">
        <v>37</v>
      </c>
      <c r="C21" s="1" t="s">
        <v>38</v>
      </c>
      <c r="D21" s="1" t="s">
        <v>14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3.45" customHeight="1">
      <c r="A22" s="1"/>
      <c r="B22" s="1" t="s">
        <v>39</v>
      </c>
      <c r="C22" s="1" t="s">
        <v>40</v>
      </c>
      <c r="D22" s="1" t="s">
        <v>14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3.45" customHeight="1">
      <c r="A23" s="1"/>
      <c r="B23" s="1" t="s">
        <v>41</v>
      </c>
      <c r="C23" s="1" t="s">
        <v>42</v>
      </c>
      <c r="D23" s="1" t="s">
        <v>14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3.45" customHeight="1">
      <c r="A24" s="1"/>
      <c r="B24" s="1" t="s">
        <v>43</v>
      </c>
      <c r="C24" s="1" t="s">
        <v>44</v>
      </c>
      <c r="D24" s="1" t="s">
        <v>14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3.45" customHeight="1">
      <c r="A25" s="1"/>
      <c r="B25" s="1" t="s">
        <v>45</v>
      </c>
      <c r="C25" s="1" t="s">
        <v>46</v>
      </c>
      <c r="D25" s="1" t="s">
        <v>14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3.45" customHeight="1">
      <c r="A26" s="9">
        <v>2</v>
      </c>
      <c r="B26" s="10" t="s">
        <v>47</v>
      </c>
      <c r="C26" s="10" t="s">
        <v>48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3.45" customHeight="1">
      <c r="A27" s="1"/>
      <c r="B27" s="1" t="s">
        <v>49</v>
      </c>
      <c r="C27" s="1" t="s">
        <v>50</v>
      </c>
      <c r="D27" s="1" t="s">
        <v>14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3.45" customHeight="1">
      <c r="A28" s="1"/>
      <c r="B28" s="1" t="s">
        <v>51</v>
      </c>
      <c r="C28" s="1" t="s">
        <v>52</v>
      </c>
      <c r="D28" s="1" t="s">
        <v>14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3.45" customHeight="1">
      <c r="A29" s="1"/>
      <c r="B29" s="1" t="s">
        <v>53</v>
      </c>
      <c r="C29" s="1" t="s">
        <v>54</v>
      </c>
      <c r="D29" s="1" t="s">
        <v>14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3.45" customHeight="1">
      <c r="A30" s="1"/>
      <c r="B30" s="1" t="s">
        <v>55</v>
      </c>
      <c r="C30" s="1" t="s">
        <v>56</v>
      </c>
      <c r="D30" s="1" t="s">
        <v>14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3.45" customHeight="1">
      <c r="A31" s="1"/>
      <c r="B31" s="1" t="s">
        <v>57</v>
      </c>
      <c r="C31" s="1" t="s">
        <v>58</v>
      </c>
      <c r="D31" s="1" t="s">
        <v>14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3.45" customHeight="1">
      <c r="A32" s="1"/>
      <c r="B32" s="1" t="s">
        <v>59</v>
      </c>
      <c r="C32" s="1" t="s">
        <v>60</v>
      </c>
      <c r="D32" s="1" t="s">
        <v>14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3.45" customHeight="1">
      <c r="A33" s="1"/>
      <c r="B33" s="1" t="s">
        <v>61</v>
      </c>
      <c r="C33" s="1" t="s">
        <v>62</v>
      </c>
      <c r="D33" s="1" t="s">
        <v>14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3.45" customHeight="1">
      <c r="A34" s="1"/>
      <c r="B34" s="1" t="s">
        <v>63</v>
      </c>
      <c r="C34" s="1" t="s">
        <v>64</v>
      </c>
      <c r="D34" s="1" t="s">
        <v>14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3.45" customHeight="1">
      <c r="A35" s="1"/>
      <c r="B35" s="1" t="s">
        <v>65</v>
      </c>
      <c r="C35" s="1" t="s">
        <v>66</v>
      </c>
      <c r="D35" s="1" t="s">
        <v>14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3.45" customHeight="1">
      <c r="A36" s="1"/>
      <c r="B36" s="1" t="s">
        <v>67</v>
      </c>
      <c r="C36" s="1" t="s">
        <v>68</v>
      </c>
      <c r="D36" s="1" t="s">
        <v>14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3.45" customHeight="1">
      <c r="A37" s="1"/>
      <c r="B37" s="1" t="s">
        <v>69</v>
      </c>
      <c r="C37" s="1" t="s">
        <v>70</v>
      </c>
      <c r="D37" s="1" t="s">
        <v>14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3.45" customHeight="1">
      <c r="A38" s="1"/>
      <c r="B38" s="1" t="s">
        <v>71</v>
      </c>
      <c r="C38" s="1" t="s">
        <v>72</v>
      </c>
      <c r="D38" s="1" t="s">
        <v>14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3.45" customHeight="1">
      <c r="A39" s="9">
        <v>3</v>
      </c>
      <c r="B39" s="10" t="s">
        <v>73</v>
      </c>
      <c r="C39" s="10" t="s">
        <v>74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3.45" customHeight="1">
      <c r="A40" s="1"/>
      <c r="B40" s="1" t="s">
        <v>75</v>
      </c>
      <c r="C40" s="1" t="s">
        <v>76</v>
      </c>
      <c r="D40" s="1" t="s">
        <v>77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3.45" customHeight="1">
      <c r="A41" s="1"/>
      <c r="B41" s="1" t="s">
        <v>78</v>
      </c>
      <c r="C41" s="1" t="s">
        <v>79</v>
      </c>
      <c r="D41" s="1" t="s">
        <v>77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3.45" customHeight="1">
      <c r="A42" s="1"/>
      <c r="B42" s="1" t="s">
        <v>80</v>
      </c>
      <c r="C42" s="1" t="s">
        <v>81</v>
      </c>
      <c r="D42" s="1" t="s">
        <v>77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3.45" customHeight="1">
      <c r="A43" s="1"/>
      <c r="B43" s="1" t="s">
        <v>82</v>
      </c>
      <c r="C43" s="1" t="s">
        <v>83</v>
      </c>
      <c r="D43" s="1" t="s">
        <v>77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3.45" customHeight="1">
      <c r="A44" s="1"/>
      <c r="B44" s="1" t="s">
        <v>84</v>
      </c>
      <c r="C44" s="1" t="s">
        <v>85</v>
      </c>
      <c r="D44" s="1" t="s">
        <v>77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3.45" customHeight="1">
      <c r="A45" s="1"/>
      <c r="B45" s="1" t="s">
        <v>86</v>
      </c>
      <c r="C45" s="1" t="s">
        <v>87</v>
      </c>
      <c r="D45" s="1" t="s">
        <v>77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3.45" customHeight="1">
      <c r="A46" s="1"/>
      <c r="B46" s="1" t="s">
        <v>88</v>
      </c>
      <c r="C46" s="1" t="s">
        <v>89</v>
      </c>
      <c r="D46" s="1" t="s">
        <v>77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3.45" customHeight="1">
      <c r="A47" s="1"/>
      <c r="B47" s="1" t="s">
        <v>90</v>
      </c>
      <c r="C47" s="1" t="s">
        <v>91</v>
      </c>
      <c r="D47" s="1" t="s">
        <v>77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3.45" customHeight="1">
      <c r="A48" s="1"/>
      <c r="B48" s="1" t="s">
        <v>92</v>
      </c>
      <c r="C48" s="1" t="s">
        <v>93</v>
      </c>
      <c r="D48" s="1" t="s">
        <v>77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3.45" customHeight="1">
      <c r="A49" s="1"/>
      <c r="B49" s="1" t="s">
        <v>94</v>
      </c>
      <c r="C49" s="1" t="s">
        <v>95</v>
      </c>
      <c r="D49" s="1" t="s">
        <v>77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3.45" customHeight="1">
      <c r="A50" s="1"/>
      <c r="B50" s="1" t="s">
        <v>96</v>
      </c>
      <c r="C50" s="1" t="s">
        <v>97</v>
      </c>
      <c r="D50" s="1" t="s">
        <v>77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3.45" customHeight="1">
      <c r="A51" s="1"/>
      <c r="B51" s="1" t="s">
        <v>98</v>
      </c>
      <c r="C51" s="1" t="s">
        <v>99</v>
      </c>
      <c r="D51" s="1" t="s">
        <v>77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3.45" customHeight="1">
      <c r="A52" s="1"/>
      <c r="B52" s="1" t="s">
        <v>100</v>
      </c>
      <c r="C52" s="1" t="s">
        <v>101</v>
      </c>
      <c r="D52" s="1" t="s">
        <v>77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3.45" customHeight="1">
      <c r="A53" s="1"/>
      <c r="B53" s="1" t="s">
        <v>102</v>
      </c>
      <c r="C53" s="1" t="s">
        <v>103</v>
      </c>
      <c r="D53" s="1" t="s">
        <v>77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3.45" customHeight="1">
      <c r="A54" s="1"/>
      <c r="B54" s="1" t="s">
        <v>104</v>
      </c>
      <c r="C54" s="1" t="s">
        <v>105</v>
      </c>
      <c r="D54" s="1" t="s">
        <v>77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3.45" customHeight="1">
      <c r="A55" s="1"/>
      <c r="B55" s="1" t="s">
        <v>106</v>
      </c>
      <c r="C55" s="1" t="s">
        <v>107</v>
      </c>
      <c r="D55" s="1" t="s">
        <v>77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3.45" customHeight="1">
      <c r="A56" s="1"/>
      <c r="B56" s="1" t="s">
        <v>108</v>
      </c>
      <c r="C56" s="1" t="s">
        <v>109</v>
      </c>
      <c r="D56" s="1" t="s">
        <v>77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3.45" customHeight="1">
      <c r="A57" s="1"/>
      <c r="B57" s="1" t="s">
        <v>110</v>
      </c>
      <c r="C57" s="1" t="s">
        <v>111</v>
      </c>
      <c r="D57" s="1" t="s">
        <v>77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3.45" customHeight="1">
      <c r="A58" s="1"/>
      <c r="B58" s="1" t="s">
        <v>112</v>
      </c>
      <c r="C58" s="1" t="s">
        <v>113</v>
      </c>
      <c r="D58" s="1" t="s">
        <v>77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3.45" customHeight="1">
      <c r="A59" s="1"/>
      <c r="B59" s="1" t="s">
        <v>114</v>
      </c>
      <c r="C59" s="1" t="s">
        <v>115</v>
      </c>
      <c r="D59" s="1" t="s">
        <v>77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3.45" customHeight="1">
      <c r="A60" s="1"/>
      <c r="B60" s="1" t="s">
        <v>116</v>
      </c>
      <c r="C60" s="1" t="s">
        <v>117</v>
      </c>
      <c r="D60" s="1" t="s">
        <v>77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3.45" customHeight="1">
      <c r="A61" s="1"/>
      <c r="B61" s="1" t="s">
        <v>118</v>
      </c>
      <c r="C61" s="1" t="s">
        <v>119</v>
      </c>
      <c r="D61" s="1" t="s">
        <v>77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3.45" customHeight="1">
      <c r="A62" s="9">
        <v>4</v>
      </c>
      <c r="B62" s="10" t="s">
        <v>120</v>
      </c>
      <c r="C62" s="10" t="s">
        <v>121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3.45" customHeight="1">
      <c r="A63" s="1"/>
      <c r="B63" s="1" t="s">
        <v>122</v>
      </c>
      <c r="C63" s="1" t="s">
        <v>123</v>
      </c>
      <c r="D63" s="1" t="s">
        <v>77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3.45" customHeight="1">
      <c r="A64" s="1"/>
      <c r="B64" s="1" t="s">
        <v>124</v>
      </c>
      <c r="C64" s="1" t="s">
        <v>125</v>
      </c>
      <c r="D64" s="1" t="s">
        <v>77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3.45" customHeight="1">
      <c r="A65" s="1"/>
      <c r="B65" s="1" t="s">
        <v>126</v>
      </c>
      <c r="C65" s="1" t="s">
        <v>127</v>
      </c>
      <c r="D65" s="1" t="s">
        <v>77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3.45" customHeight="1">
      <c r="A66" s="1"/>
      <c r="B66" s="1" t="s">
        <v>128</v>
      </c>
      <c r="C66" s="1" t="s">
        <v>129</v>
      </c>
      <c r="D66" s="1" t="s">
        <v>77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3.45" customHeight="1">
      <c r="A67" s="1"/>
      <c r="B67" s="1" t="s">
        <v>130</v>
      </c>
      <c r="C67" s="1" t="s">
        <v>131</v>
      </c>
      <c r="D67" s="1" t="s">
        <v>77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3.45" customHeight="1">
      <c r="A68" s="1"/>
      <c r="B68" s="1" t="s">
        <v>132</v>
      </c>
      <c r="C68" s="1" t="s">
        <v>133</v>
      </c>
      <c r="D68" s="1" t="s">
        <v>77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3.45" customHeight="1">
      <c r="A69" s="1"/>
      <c r="B69" s="1" t="s">
        <v>134</v>
      </c>
      <c r="C69" s="1" t="s">
        <v>135</v>
      </c>
      <c r="D69" s="1" t="s">
        <v>77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3.45" customHeight="1">
      <c r="A70" s="1"/>
      <c r="B70" s="1" t="s">
        <v>136</v>
      </c>
      <c r="C70" s="1" t="s">
        <v>137</v>
      </c>
      <c r="D70" s="1" t="s">
        <v>77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3.45" customHeight="1">
      <c r="A71" s="1"/>
      <c r="B71" s="1" t="s">
        <v>138</v>
      </c>
      <c r="C71" s="1" t="s">
        <v>139</v>
      </c>
      <c r="D71" s="1" t="s">
        <v>77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3.45" customHeight="1">
      <c r="A72" s="1"/>
      <c r="B72" s="1" t="s">
        <v>140</v>
      </c>
      <c r="C72" s="1" t="s">
        <v>141</v>
      </c>
      <c r="D72" s="1" t="s">
        <v>77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3.45" customHeight="1">
      <c r="A73" s="1"/>
      <c r="B73" s="1" t="s">
        <v>142</v>
      </c>
      <c r="C73" s="1" t="s">
        <v>143</v>
      </c>
      <c r="D73" s="1" t="s">
        <v>77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3.45" customHeight="1">
      <c r="A74" s="1"/>
      <c r="B74" s="1" t="s">
        <v>144</v>
      </c>
      <c r="C74" s="1" t="s">
        <v>145</v>
      </c>
      <c r="D74" s="1" t="s">
        <v>77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3.45" customHeight="1">
      <c r="A75" s="1"/>
      <c r="B75" s="1" t="s">
        <v>146</v>
      </c>
      <c r="C75" s="1" t="s">
        <v>147</v>
      </c>
      <c r="D75" s="1" t="s">
        <v>77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3.45" customHeight="1">
      <c r="A76" s="1"/>
      <c r="B76" s="1" t="s">
        <v>148</v>
      </c>
      <c r="C76" s="1" t="s">
        <v>149</v>
      </c>
      <c r="D76" s="1" t="s">
        <v>77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3.45" customHeight="1">
      <c r="A77" s="1"/>
      <c r="B77" s="1" t="s">
        <v>150</v>
      </c>
      <c r="C77" s="1" t="s">
        <v>151</v>
      </c>
      <c r="D77" s="1" t="s">
        <v>77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3.45" customHeight="1">
      <c r="A78" s="1"/>
      <c r="B78" s="1" t="s">
        <v>152</v>
      </c>
      <c r="C78" s="1" t="s">
        <v>153</v>
      </c>
      <c r="D78" s="1" t="s">
        <v>14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3.45" customHeight="1">
      <c r="A79" s="1"/>
      <c r="B79" s="1" t="s">
        <v>154</v>
      </c>
      <c r="C79" s="1" t="s">
        <v>155</v>
      </c>
      <c r="D79" s="1" t="s">
        <v>14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3.45" customHeight="1">
      <c r="A80" s="1"/>
      <c r="B80" s="1" t="s">
        <v>156</v>
      </c>
      <c r="C80" s="1" t="s">
        <v>157</v>
      </c>
      <c r="D80" s="1" t="s">
        <v>14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3.45" customHeight="1">
      <c r="A81" s="1"/>
      <c r="B81" s="1" t="s">
        <v>158</v>
      </c>
      <c r="C81" s="1" t="s">
        <v>159</v>
      </c>
      <c r="D81" s="1" t="s">
        <v>14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3.45" customHeight="1">
      <c r="A82" s="1"/>
      <c r="B82" s="1" t="s">
        <v>160</v>
      </c>
      <c r="C82" s="1" t="s">
        <v>161</v>
      </c>
      <c r="D82" s="1" t="s">
        <v>14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3.45" customHeight="1">
      <c r="A83" s="1"/>
      <c r="B83" s="1" t="s">
        <v>162</v>
      </c>
      <c r="C83" s="1" t="s">
        <v>163</v>
      </c>
      <c r="D83" s="1" t="s">
        <v>14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3.45" customHeight="1">
      <c r="A84" s="1"/>
      <c r="B84" s="1" t="s">
        <v>164</v>
      </c>
      <c r="C84" s="1" t="s">
        <v>165</v>
      </c>
      <c r="D84" s="1" t="s">
        <v>14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3.45" customHeight="1">
      <c r="A85" s="1"/>
      <c r="B85" s="1" t="s">
        <v>166</v>
      </c>
      <c r="C85" s="1" t="s">
        <v>167</v>
      </c>
      <c r="D85" s="1" t="s">
        <v>14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3.45" customHeight="1">
      <c r="A86" s="1"/>
      <c r="B86" s="1" t="s">
        <v>168</v>
      </c>
      <c r="C86" s="1" t="s">
        <v>169</v>
      </c>
      <c r="D86" s="1" t="s">
        <v>14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3.45" customHeight="1">
      <c r="A87" s="1"/>
      <c r="B87" s="1" t="s">
        <v>170</v>
      </c>
      <c r="C87" s="1" t="s">
        <v>171</v>
      </c>
      <c r="D87" s="1" t="s">
        <v>14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3.45" customHeight="1">
      <c r="A88" s="1"/>
      <c r="B88" s="1" t="s">
        <v>172</v>
      </c>
      <c r="C88" s="1" t="s">
        <v>173</v>
      </c>
      <c r="D88" s="1" t="s">
        <v>14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3.45" customHeight="1">
      <c r="A89" s="1"/>
      <c r="B89" s="1" t="s">
        <v>174</v>
      </c>
      <c r="C89" s="1" t="s">
        <v>175</v>
      </c>
      <c r="D89" s="1" t="s">
        <v>14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3.45" customHeight="1">
      <c r="A90" s="9">
        <v>5</v>
      </c>
      <c r="B90" s="10" t="s">
        <v>176</v>
      </c>
      <c r="C90" s="10" t="s">
        <v>177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3.45" customHeight="1">
      <c r="A91" s="1"/>
      <c r="B91" s="1" t="s">
        <v>178</v>
      </c>
      <c r="C91" s="1" t="s">
        <v>179</v>
      </c>
      <c r="D91" s="1" t="s">
        <v>180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3.45" customHeight="1">
      <c r="A92" s="1"/>
      <c r="B92" s="1" t="s">
        <v>181</v>
      </c>
      <c r="C92" s="1" t="s">
        <v>182</v>
      </c>
      <c r="D92" s="1" t="s">
        <v>180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3.45" customHeight="1">
      <c r="A93" s="1"/>
      <c r="B93" s="1" t="s">
        <v>183</v>
      </c>
      <c r="C93" s="1" t="s">
        <v>184</v>
      </c>
      <c r="D93" s="1" t="s">
        <v>180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3.45" customHeight="1">
      <c r="A94" s="1"/>
      <c r="B94" s="1" t="s">
        <v>185</v>
      </c>
      <c r="C94" s="1" t="s">
        <v>186</v>
      </c>
      <c r="D94" s="1" t="s">
        <v>180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3.45" customHeight="1">
      <c r="A95" s="1"/>
      <c r="B95" s="1" t="s">
        <v>187</v>
      </c>
      <c r="C95" s="1" t="s">
        <v>188</v>
      </c>
      <c r="D95" s="1" t="s">
        <v>180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3.45" customHeight="1">
      <c r="A96" s="1"/>
      <c r="B96" s="1" t="s">
        <v>189</v>
      </c>
      <c r="C96" s="1" t="s">
        <v>190</v>
      </c>
      <c r="D96" s="1" t="s">
        <v>180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3.45" customHeight="1">
      <c r="A97" s="1"/>
      <c r="B97" s="1" t="s">
        <v>191</v>
      </c>
      <c r="C97" s="1" t="s">
        <v>192</v>
      </c>
      <c r="D97" s="1" t="s">
        <v>180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3.45" customHeight="1">
      <c r="A98" s="1"/>
      <c r="B98" s="1" t="s">
        <v>193</v>
      </c>
      <c r="C98" s="1" t="s">
        <v>194</v>
      </c>
      <c r="D98" s="1" t="s">
        <v>180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3.45" customHeight="1">
      <c r="A99" s="1"/>
      <c r="B99" s="1" t="s">
        <v>195</v>
      </c>
      <c r="C99" s="1" t="s">
        <v>196</v>
      </c>
      <c r="D99" s="1" t="s">
        <v>180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3.45" customHeight="1">
      <c r="A100" s="1"/>
      <c r="B100" s="1" t="s">
        <v>197</v>
      </c>
      <c r="C100" s="1" t="s">
        <v>198</v>
      </c>
      <c r="D100" s="1" t="s">
        <v>180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3.45" customHeight="1">
      <c r="A101" s="9" t="s">
        <v>199</v>
      </c>
      <c r="B101" s="10"/>
      <c r="C101" s="10" t="s">
        <v>304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3.45" customHeight="1">
      <c r="A102" s="9">
        <v>1</v>
      </c>
      <c r="B102" s="10" t="s">
        <v>200</v>
      </c>
      <c r="C102" s="10" t="s">
        <v>201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3.45" customHeight="1">
      <c r="A103" s="1"/>
      <c r="B103" s="1" t="s">
        <v>202</v>
      </c>
      <c r="C103" s="1" t="s">
        <v>203</v>
      </c>
      <c r="D103" s="1" t="s">
        <v>204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3.45" customHeight="1">
      <c r="A104" s="1"/>
      <c r="B104" s="1" t="s">
        <v>205</v>
      </c>
      <c r="C104" s="1" t="s">
        <v>206</v>
      </c>
      <c r="D104" s="1" t="s">
        <v>204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3.45" customHeight="1">
      <c r="A105" s="1"/>
      <c r="B105" s="1" t="s">
        <v>207</v>
      </c>
      <c r="C105" s="1" t="s">
        <v>208</v>
      </c>
      <c r="D105" s="1" t="s">
        <v>204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3.45" customHeight="1">
      <c r="A106" s="1"/>
      <c r="B106" s="1" t="s">
        <v>209</v>
      </c>
      <c r="C106" s="1" t="s">
        <v>210</v>
      </c>
      <c r="D106" s="1" t="s">
        <v>204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3.45" customHeight="1">
      <c r="A107" s="1"/>
      <c r="B107" s="1" t="s">
        <v>211</v>
      </c>
      <c r="C107" s="1" t="s">
        <v>212</v>
      </c>
      <c r="D107" s="1" t="s">
        <v>204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3.45" customHeight="1">
      <c r="A108" s="1"/>
      <c r="B108" s="1" t="s">
        <v>213</v>
      </c>
      <c r="C108" s="1" t="s">
        <v>214</v>
      </c>
      <c r="D108" s="1" t="s">
        <v>204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3.45" customHeight="1">
      <c r="A109" s="1"/>
      <c r="B109" s="1" t="s">
        <v>215</v>
      </c>
      <c r="C109" s="1" t="s">
        <v>216</v>
      </c>
      <c r="D109" s="1" t="s">
        <v>204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3.45" customHeight="1">
      <c r="A110" s="1">
        <v>2</v>
      </c>
      <c r="B110" s="1"/>
      <c r="C110" s="1" t="s">
        <v>305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3.4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3.4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3.4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3.4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3.45" customHeight="1">
      <c r="A115" s="9" t="s">
        <v>217</v>
      </c>
      <c r="B115" s="10" t="s">
        <v>218</v>
      </c>
      <c r="C115" s="10" t="s">
        <v>219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3.45" customHeight="1">
      <c r="A116" s="1"/>
      <c r="B116" s="1" t="s">
        <v>220</v>
      </c>
      <c r="C116" s="1" t="s">
        <v>221</v>
      </c>
      <c r="D116" s="1" t="s">
        <v>222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3.45" customHeight="1">
      <c r="A117" s="1"/>
      <c r="B117" s="1" t="s">
        <v>223</v>
      </c>
      <c r="C117" s="1" t="s">
        <v>224</v>
      </c>
      <c r="D117" s="1" t="s">
        <v>222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3.45" customHeight="1">
      <c r="A118" s="1"/>
      <c r="B118" s="1" t="s">
        <v>225</v>
      </c>
      <c r="C118" s="1" t="s">
        <v>226</v>
      </c>
      <c r="D118" s="1" t="s">
        <v>222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3.45" customHeight="1">
      <c r="A119" s="1"/>
      <c r="B119" s="1" t="s">
        <v>227</v>
      </c>
      <c r="C119" s="1" t="s">
        <v>228</v>
      </c>
      <c r="D119" s="1" t="s">
        <v>222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3.45" customHeight="1">
      <c r="A120" s="1"/>
      <c r="B120" s="1" t="s">
        <v>229</v>
      </c>
      <c r="C120" s="1" t="s">
        <v>230</v>
      </c>
      <c r="D120" s="1" t="s">
        <v>222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3.45" customHeight="1">
      <c r="A121" s="1"/>
      <c r="B121" s="1" t="s">
        <v>231</v>
      </c>
      <c r="C121" s="1" t="s">
        <v>232</v>
      </c>
      <c r="D121" s="1" t="s">
        <v>222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3.45" customHeight="1">
      <c r="A122" s="1"/>
      <c r="B122" s="1" t="s">
        <v>233</v>
      </c>
      <c r="C122" s="1" t="s">
        <v>234</v>
      </c>
      <c r="D122" s="1" t="s">
        <v>222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3.45" customHeight="1">
      <c r="A123" s="1"/>
      <c r="B123" s="1" t="s">
        <v>235</v>
      </c>
      <c r="C123" s="1" t="s">
        <v>236</v>
      </c>
      <c r="D123" s="1" t="s">
        <v>222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3.45" customHeight="1">
      <c r="A124" s="1"/>
      <c r="B124" s="1" t="s">
        <v>237</v>
      </c>
      <c r="C124" s="1" t="s">
        <v>238</v>
      </c>
      <c r="D124" s="1" t="s">
        <v>222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3.45" customHeight="1">
      <c r="A125" s="1"/>
      <c r="B125" s="1" t="s">
        <v>239</v>
      </c>
      <c r="C125" s="1" t="s">
        <v>240</v>
      </c>
      <c r="D125" s="1" t="s">
        <v>222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3.45" customHeight="1">
      <c r="A126" s="1"/>
      <c r="B126" s="1" t="s">
        <v>241</v>
      </c>
      <c r="C126" s="1" t="s">
        <v>242</v>
      </c>
      <c r="D126" s="1" t="s">
        <v>222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3.45" customHeight="1">
      <c r="A127" s="1"/>
      <c r="B127" s="1" t="s">
        <v>243</v>
      </c>
      <c r="C127" s="1" t="s">
        <v>244</v>
      </c>
      <c r="D127" s="1" t="s">
        <v>222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3.45" customHeight="1">
      <c r="A128" s="1"/>
      <c r="B128" s="1" t="s">
        <v>245</v>
      </c>
      <c r="C128" s="1" t="s">
        <v>246</v>
      </c>
      <c r="D128" s="1" t="s">
        <v>222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3.45" customHeight="1">
      <c r="A129" s="1"/>
      <c r="B129" s="1" t="s">
        <v>247</v>
      </c>
      <c r="C129" s="1" t="s">
        <v>248</v>
      </c>
      <c r="D129" s="1" t="s">
        <v>222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3.45" customHeight="1">
      <c r="A130" s="1"/>
      <c r="B130" s="1" t="s">
        <v>249</v>
      </c>
      <c r="C130" s="1" t="s">
        <v>250</v>
      </c>
      <c r="D130" s="1" t="s">
        <v>222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3.45" customHeight="1">
      <c r="A131" s="1"/>
      <c r="B131" s="1" t="s">
        <v>251</v>
      </c>
      <c r="C131" s="1" t="s">
        <v>44</v>
      </c>
      <c r="D131" s="1" t="s">
        <v>222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3.45" customHeight="1">
      <c r="A132" s="1"/>
      <c r="B132" s="1" t="s">
        <v>252</v>
      </c>
      <c r="C132" s="1" t="s">
        <v>253</v>
      </c>
      <c r="D132" s="1" t="s">
        <v>222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3.45" customHeight="1">
      <c r="A133" s="1"/>
      <c r="B133" s="1" t="s">
        <v>254</v>
      </c>
      <c r="C133" s="1" t="s">
        <v>255</v>
      </c>
      <c r="D133" s="1" t="s">
        <v>222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3.45" customHeight="1">
      <c r="A134" s="1"/>
      <c r="B134" s="1" t="s">
        <v>256</v>
      </c>
      <c r="C134" s="1" t="s">
        <v>257</v>
      </c>
      <c r="D134" s="1" t="s">
        <v>222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3.45" customHeight="1">
      <c r="A135" s="1"/>
      <c r="B135" s="1" t="s">
        <v>258</v>
      </c>
      <c r="C135" s="1" t="s">
        <v>259</v>
      </c>
      <c r="D135" s="1" t="s">
        <v>222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3.45" customHeight="1">
      <c r="A136" s="1"/>
      <c r="B136" s="1" t="s">
        <v>260</v>
      </c>
      <c r="C136" s="1" t="s">
        <v>261</v>
      </c>
      <c r="D136" s="1" t="s">
        <v>222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3.45" customHeight="1">
      <c r="A137" s="1"/>
      <c r="B137" s="1" t="s">
        <v>262</v>
      </c>
      <c r="C137" s="1" t="s">
        <v>263</v>
      </c>
      <c r="D137" s="1" t="s">
        <v>222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3.45" customHeight="1">
      <c r="A138" s="1"/>
      <c r="B138" s="1" t="s">
        <v>264</v>
      </c>
      <c r="C138" s="1" t="s">
        <v>265</v>
      </c>
      <c r="D138" s="1" t="s">
        <v>222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3.45" customHeight="1">
      <c r="A139" s="1"/>
      <c r="B139" s="1" t="s">
        <v>266</v>
      </c>
      <c r="C139" s="1" t="s">
        <v>267</v>
      </c>
      <c r="D139" s="1" t="s">
        <v>222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3.45" customHeight="1">
      <c r="A140" s="1"/>
      <c r="B140" s="1" t="s">
        <v>268</v>
      </c>
      <c r="C140" s="1" t="s">
        <v>269</v>
      </c>
      <c r="D140" s="1" t="s">
        <v>222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3.45" customHeight="1">
      <c r="A141" s="1"/>
      <c r="B141" s="1" t="s">
        <v>270</v>
      </c>
      <c r="C141" s="1" t="s">
        <v>271</v>
      </c>
      <c r="D141" s="1" t="s">
        <v>222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3.45" customHeight="1">
      <c r="A142" s="1"/>
      <c r="B142" s="1" t="s">
        <v>272</v>
      </c>
      <c r="C142" s="1" t="s">
        <v>273</v>
      </c>
      <c r="D142" s="1" t="s">
        <v>222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3.45" customHeight="1">
      <c r="A143" s="1"/>
      <c r="B143" s="1" t="s">
        <v>274</v>
      </c>
      <c r="C143" s="1" t="s">
        <v>275</v>
      </c>
      <c r="D143" s="1" t="s">
        <v>222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3.45" customHeight="1">
      <c r="A144" s="1"/>
      <c r="B144" s="1" t="s">
        <v>276</v>
      </c>
      <c r="C144" s="1" t="s">
        <v>277</v>
      </c>
      <c r="D144" s="1" t="s">
        <v>222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3.45" customHeight="1">
      <c r="A145" s="1"/>
      <c r="B145" s="1" t="s">
        <v>278</v>
      </c>
      <c r="C145" s="1" t="s">
        <v>279</v>
      </c>
      <c r="D145" s="1" t="s">
        <v>222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3.45" customHeight="1">
      <c r="A146" s="1"/>
      <c r="B146" s="1" t="s">
        <v>280</v>
      </c>
      <c r="C146" s="1" t="s">
        <v>281</v>
      </c>
      <c r="D146" s="1" t="s">
        <v>222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3.45" customHeight="1">
      <c r="A147" s="1"/>
      <c r="B147" s="1" t="s">
        <v>282</v>
      </c>
      <c r="C147" s="1" t="s">
        <v>283</v>
      </c>
      <c r="D147" s="1" t="s">
        <v>222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3.45" customHeight="1">
      <c r="A148" s="9" t="s">
        <v>284</v>
      </c>
      <c r="B148" s="10" t="s">
        <v>285</v>
      </c>
      <c r="C148" s="10" t="s">
        <v>286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3.45" customHeight="1">
      <c r="A149" s="1"/>
      <c r="B149" s="1" t="s">
        <v>287</v>
      </c>
      <c r="C149" s="1" t="s">
        <v>288</v>
      </c>
      <c r="D149" s="1" t="s">
        <v>289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3.45" customHeight="1">
      <c r="A150" s="1"/>
      <c r="B150" s="1" t="s">
        <v>290</v>
      </c>
      <c r="C150" s="1" t="s">
        <v>291</v>
      </c>
      <c r="D150" s="1" t="s">
        <v>289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3.45" customHeight="1">
      <c r="A151" s="1"/>
      <c r="B151" s="1" t="s">
        <v>292</v>
      </c>
      <c r="C151" s="1" t="s">
        <v>293</v>
      </c>
      <c r="D151" s="1" t="s">
        <v>289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3.45" customHeight="1">
      <c r="A152" s="1"/>
      <c r="B152" s="1" t="s">
        <v>294</v>
      </c>
      <c r="C152" s="1" t="s">
        <v>295</v>
      </c>
      <c r="D152" s="1" t="s">
        <v>289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3.45" customHeight="1">
      <c r="A153" s="1"/>
      <c r="B153" s="1" t="s">
        <v>296</v>
      </c>
      <c r="C153" s="1" t="s">
        <v>297</v>
      </c>
      <c r="D153" s="1" t="s">
        <v>289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3.45" customHeight="1">
      <c r="A154" s="1"/>
      <c r="B154" s="1" t="s">
        <v>298</v>
      </c>
      <c r="C154" s="1" t="s">
        <v>299</v>
      </c>
      <c r="D154" s="1" t="s">
        <v>289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3.45" customHeight="1">
      <c r="A155" s="1"/>
      <c r="B155" s="1" t="s">
        <v>300</v>
      </c>
      <c r="C155" s="1" t="s">
        <v>301</v>
      </c>
      <c r="D155" s="1" t="s">
        <v>289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3.45" customHeight="1">
      <c r="A156" s="1"/>
      <c r="B156" s="1" t="s">
        <v>302</v>
      </c>
      <c r="C156" s="1" t="s">
        <v>303</v>
      </c>
      <c r="D156" s="1" t="s">
        <v>289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</sheetData>
  <mergeCells count="1"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B.KToan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THACOAGRI</dc:creator>
  <cp:lastModifiedBy>Thăng Hồ Quốc</cp:lastModifiedBy>
  <dcterms:created xsi:type="dcterms:W3CDTF">2026-10-26T03:56:27Z</dcterms:created>
  <dcterms:modified xsi:type="dcterms:W3CDTF">2026-10-26T07:21:17Z</dcterms:modified>
</cp:coreProperties>
</file>